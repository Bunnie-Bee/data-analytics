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878512-BF47-46AB-A93D-B257CD6ABA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Data" sheetId="1" r:id="rId1"/>
    <sheet name="Clean sheet" sheetId="4" r:id="rId2"/>
    <sheet name="Instructor Note" sheetId="2" r:id="rId3"/>
  </sheets>
  <definedNames>
    <definedName name="_xlnm._FilterDatabase" localSheetId="1" hidden="1">'Clean sheet'!$A$1:$M$190</definedName>
  </definedNames>
  <calcPr calcId="181029"/>
</workbook>
</file>

<file path=xl/calcChain.xml><?xml version="1.0" encoding="utf-8"?>
<calcChain xmlns="http://schemas.openxmlformats.org/spreadsheetml/2006/main">
  <c r="N2" i="4" l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3" i="4"/>
  <c r="M4" i="4"/>
  <c r="M5" i="4"/>
  <c r="M6" i="4"/>
  <c r="M7" i="4"/>
  <c r="M8" i="4"/>
  <c r="M9" i="4"/>
  <c r="M10" i="4"/>
  <c r="M11" i="4"/>
  <c r="M12" i="4"/>
  <c r="M13" i="4"/>
  <c r="M14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M1" i="4"/>
  <c r="L1" i="4"/>
  <c r="K1" i="4"/>
  <c r="J1" i="4"/>
  <c r="I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G1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22" i="4"/>
  <c r="F23" i="4"/>
  <c r="F24" i="4"/>
  <c r="F25" i="4"/>
  <c r="F26" i="4"/>
  <c r="F27" i="4"/>
  <c r="F28" i="4"/>
  <c r="F29" i="4"/>
  <c r="F3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F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2" i="4"/>
  <c r="E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D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C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2" i="4"/>
  <c r="A1" i="4"/>
</calcChain>
</file>

<file path=xl/sharedStrings.xml><?xml version="1.0" encoding="utf-8"?>
<sst xmlns="http://schemas.openxmlformats.org/spreadsheetml/2006/main" count="1019" uniqueCount="176">
  <si>
    <t>Transaction ID</t>
  </si>
  <si>
    <t>Date</t>
  </si>
  <si>
    <t>Customer ID</t>
  </si>
  <si>
    <t>Customer Name</t>
  </si>
  <si>
    <t>Product ID</t>
  </si>
  <si>
    <t>Product</t>
  </si>
  <si>
    <t>Category</t>
  </si>
  <si>
    <t>Quantity</t>
  </si>
  <si>
    <t>Unit Price (₦)</t>
  </si>
  <si>
    <t>Region</t>
  </si>
  <si>
    <t>Salesperson</t>
  </si>
  <si>
    <t>Payment Method</t>
  </si>
  <si>
    <t>Payment Status</t>
  </si>
  <si>
    <t>TXN001</t>
  </si>
  <si>
    <t>C008</t>
  </si>
  <si>
    <t>Joseph Adebayo</t>
  </si>
  <si>
    <t>P004</t>
  </si>
  <si>
    <t>Sliced Bread</t>
  </si>
  <si>
    <t>Bakery</t>
  </si>
  <si>
    <t>Lagos</t>
  </si>
  <si>
    <t>Chinedu</t>
  </si>
  <si>
    <t>Card</t>
  </si>
  <si>
    <t>Paid</t>
  </si>
  <si>
    <t>TXN002</t>
  </si>
  <si>
    <t>C005</t>
  </si>
  <si>
    <t>Esther Johnson</t>
  </si>
  <si>
    <t>P007</t>
  </si>
  <si>
    <t>Bottled Water</t>
  </si>
  <si>
    <t>Beverages</t>
  </si>
  <si>
    <t>Kemi</t>
  </si>
  <si>
    <t>Transfer</t>
  </si>
  <si>
    <t>TXN003</t>
  </si>
  <si>
    <t>C002</t>
  </si>
  <si>
    <t>Daniel Okafor</t>
  </si>
  <si>
    <t>P002</t>
  </si>
  <si>
    <t>Spaghetti</t>
  </si>
  <si>
    <t>Groceries</t>
  </si>
  <si>
    <t>Ibadan</t>
  </si>
  <si>
    <t>Tolu</t>
  </si>
  <si>
    <t>POS</t>
  </si>
  <si>
    <t>TXN004</t>
  </si>
  <si>
    <t>C009</t>
  </si>
  <si>
    <t>Deborah Obi</t>
  </si>
  <si>
    <t>P005</t>
  </si>
  <si>
    <t>Meat Pie</t>
  </si>
  <si>
    <t>Enugu</t>
  </si>
  <si>
    <t>Amaka</t>
  </si>
  <si>
    <t>Cash</t>
  </si>
  <si>
    <t>TXN005</t>
  </si>
  <si>
    <t>C006</t>
  </si>
  <si>
    <t>David Yusuf</t>
  </si>
  <si>
    <t>P008</t>
  </si>
  <si>
    <t>Liquid Soap</t>
  </si>
  <si>
    <t>Household</t>
  </si>
  <si>
    <t>Abuja</t>
  </si>
  <si>
    <t>Pending</t>
  </si>
  <si>
    <t>TXN006</t>
  </si>
  <si>
    <t>C003</t>
  </si>
  <si>
    <t>Grace Adeyemi</t>
  </si>
  <si>
    <t>P003</t>
  </si>
  <si>
    <t>Peak Milk</t>
  </si>
  <si>
    <t>TXN007</t>
  </si>
  <si>
    <t>C010</t>
  </si>
  <si>
    <t>Peter James</t>
  </si>
  <si>
    <t>P006</t>
  </si>
  <si>
    <t>Malt Drink</t>
  </si>
  <si>
    <t>TXN008</t>
  </si>
  <si>
    <t>C007</t>
  </si>
  <si>
    <t>Miriam Balogun</t>
  </si>
  <si>
    <t>P001</t>
  </si>
  <si>
    <t>Premium Rice 5kg</t>
  </si>
  <si>
    <t>TXN009</t>
  </si>
  <si>
    <t>C004</t>
  </si>
  <si>
    <t>Samuel Eze</t>
  </si>
  <si>
    <t>TXN010</t>
  </si>
  <si>
    <t>C001</t>
  </si>
  <si>
    <t>Aisha Bello</t>
  </si>
  <si>
    <t>TXN011</t>
  </si>
  <si>
    <t>TXN012</t>
  </si>
  <si>
    <t xml:space="preserve">  aisha bello 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</si>
  <si>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</si>
  <si>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</si>
  <si>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</si>
  <si>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</si>
  <si>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</si>
  <si>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</si>
  <si>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</si>
  <si>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</si>
  <si>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</si>
  <si>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</si>
  <si>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</si>
  <si>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</si>
  <si>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</si>
  <si>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</si>
  <si>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</si>
  <si>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groceries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</si>
  <si>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</si>
  <si>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</si>
  <si>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</si>
  <si>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</si>
  <si>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</si>
  <si>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</si>
  <si>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</si>
  <si>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</si>
  <si>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</si>
  <si>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</si>
  <si>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</si>
  <si>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</si>
  <si>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</si>
  <si>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</si>
  <si>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</si>
  <si>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</si>
  <si>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</si>
  <si>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 xml:space="preserve">paid 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</si>
  <si>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</si>
  <si>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</si>
  <si>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</si>
  <si>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</si>
  <si>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</si>
  <si>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</si>
  <si>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</si>
  <si>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</si>
  <si>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</si>
  <si>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</si>
  <si>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</si>
  <si>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</si>
  <si>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</si>
  <si>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</si>
  <si>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</si>
  <si>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</si>
  <si>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</si>
  <si>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</si>
  <si>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</si>
  <si>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</si>
  <si>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</si>
  <si>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</si>
  <si>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</si>
  <si>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</si>
  <si>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</si>
  <si>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</si>
  <si>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</si>
  <si>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</si>
  <si>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</si>
  <si>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</si>
  <si>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</si>
  <si>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</si>
  <si>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</si>
  <si>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</si>
  <si>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</si>
  <si>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</si>
  <si>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</si>
  <si>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</si>
  <si>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</si>
  <si>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</si>
  <si>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</si>
  <si>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</si>
  <si>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</si>
  <si>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</si>
  <si>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</si>
  <si>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</si>
  <si>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</si>
  <si>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</si>
  <si>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</si>
  <si>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</si>
  <si>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</si>
  <si>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</si>
  <si>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</si>
  <si>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</si>
  <si>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</si>
  <si>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Instructor Note</t>
  </si>
  <si>
    <t>This dataset contains intentional data-quality problems for students to discover.</t>
  </si>
  <si>
    <t>Problems include a duplicate, extra spaces, inconsistent capitalization, inconsistent payment status, and missing values.</t>
  </si>
  <si>
    <t>Students should not invent missing information.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</si>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</sst>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6" tint="-0.249977111117893"/>
      <name val="Calibri"/>
      <family val="2"/>
    </font>
    <font>
      <b/>
      <sz val="16"/>
      <color theme="6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 applyAlignment="1">
      <alignment horizontal="left"/>
    </xf>
    <xf numFmtId="166" fontId="2" fillId="0" borderId="1" xfId="0" applyNumberFormat="1" applyFont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C21" sqref="C21"/>
    </sheetView>
  </sheetViews>
  <sheetFormatPr defaultRowHeight="14.5" x14ac:dyDescent="0.35"/>
  <cols>
    <col min="2" max="2" width="17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>
        <v>46235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>
        <v>2200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s="2">
        <v>46236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3</v>
      </c>
      <c r="I3">
        <v>500</v>
      </c>
      <c r="J3" t="s">
        <v>19</v>
      </c>
      <c r="K3" t="s">
        <v>29</v>
      </c>
      <c r="L3" t="s">
        <v>30</v>
      </c>
      <c r="M3" t="s">
        <v>22</v>
      </c>
    </row>
    <row r="4" spans="1:13" x14ac:dyDescent="0.35">
      <c r="A4" t="s">
        <v>31</v>
      </c>
      <c r="B4" s="2">
        <v>46237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4</v>
      </c>
      <c r="I4">
        <v>1800</v>
      </c>
      <c r="J4" t="s">
        <v>37</v>
      </c>
      <c r="K4" t="s">
        <v>38</v>
      </c>
      <c r="L4" t="s">
        <v>39</v>
      </c>
      <c r="M4" t="s">
        <v>22</v>
      </c>
    </row>
    <row r="5" spans="1:13" x14ac:dyDescent="0.35">
      <c r="A5" t="s">
        <v>40</v>
      </c>
      <c r="B5" s="2">
        <v>46238</v>
      </c>
      <c r="C5" t="s">
        <v>41</v>
      </c>
      <c r="D5" t="s">
        <v>42</v>
      </c>
      <c r="E5" t="s">
        <v>43</v>
      </c>
      <c r="F5" t="s">
        <v>44</v>
      </c>
      <c r="G5" t="s">
        <v>18</v>
      </c>
      <c r="H5">
        <v>5</v>
      </c>
      <c r="I5">
        <v>1800</v>
      </c>
      <c r="J5" t="s">
        <v>45</v>
      </c>
      <c r="K5" t="s">
        <v>46</v>
      </c>
      <c r="L5" t="s">
        <v>47</v>
      </c>
      <c r="M5" t="s">
        <v>22</v>
      </c>
    </row>
    <row r="6" spans="1:13" x14ac:dyDescent="0.35">
      <c r="A6" t="s">
        <v>48</v>
      </c>
      <c r="B6" s="2">
        <v>46239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>
        <v>6</v>
      </c>
      <c r="I6">
        <v>3500</v>
      </c>
      <c r="J6" t="s">
        <v>54</v>
      </c>
      <c r="K6" t="s">
        <v>20</v>
      </c>
      <c r="L6" t="s">
        <v>21</v>
      </c>
      <c r="M6" t="s">
        <v>55</v>
      </c>
    </row>
    <row r="7" spans="1:13" x14ac:dyDescent="0.35">
      <c r="A7" t="s">
        <v>56</v>
      </c>
      <c r="B7" s="2">
        <v>46240</v>
      </c>
      <c r="C7" t="s">
        <v>57</v>
      </c>
      <c r="D7" t="s">
        <v>58</v>
      </c>
      <c r="E7" t="s">
        <v>59</v>
      </c>
      <c r="F7" t="s">
        <v>60</v>
      </c>
      <c r="G7" t="s">
        <v>36</v>
      </c>
      <c r="H7">
        <v>7</v>
      </c>
      <c r="I7">
        <v>3200</v>
      </c>
      <c r="J7" t="s">
        <v>54</v>
      </c>
      <c r="K7" t="s">
        <v>29</v>
      </c>
      <c r="L7" t="s">
        <v>30</v>
      </c>
      <c r="M7" t="s">
        <v>22</v>
      </c>
    </row>
    <row r="8" spans="1:13" x14ac:dyDescent="0.35">
      <c r="A8" t="s">
        <v>61</v>
      </c>
      <c r="B8" s="2">
        <v>46241</v>
      </c>
      <c r="C8" t="s">
        <v>62</v>
      </c>
      <c r="D8" t="s">
        <v>63</v>
      </c>
      <c r="E8" t="s">
        <v>64</v>
      </c>
      <c r="F8" t="s">
        <v>65</v>
      </c>
      <c r="G8" t="s">
        <v>28</v>
      </c>
      <c r="H8">
        <v>8</v>
      </c>
      <c r="I8">
        <v>1200</v>
      </c>
      <c r="J8" t="s">
        <v>54</v>
      </c>
      <c r="K8" t="s">
        <v>38</v>
      </c>
      <c r="L8" t="s">
        <v>39</v>
      </c>
      <c r="M8" t="s">
        <v>22</v>
      </c>
    </row>
    <row r="9" spans="1:13" x14ac:dyDescent="0.35">
      <c r="A9" t="s">
        <v>66</v>
      </c>
      <c r="B9" s="2">
        <v>46242</v>
      </c>
      <c r="C9" t="s">
        <v>67</v>
      </c>
      <c r="D9" t="s">
        <v>68</v>
      </c>
      <c r="E9" t="s">
        <v>69</v>
      </c>
      <c r="F9" t="s">
        <v>70</v>
      </c>
      <c r="G9" t="s">
        <v>36</v>
      </c>
      <c r="H9">
        <v>1</v>
      </c>
      <c r="I9">
        <v>14500</v>
      </c>
      <c r="J9" t="s">
        <v>37</v>
      </c>
      <c r="K9" t="s">
        <v>46</v>
      </c>
      <c r="L9" t="s">
        <v>47</v>
      </c>
      <c r="M9" t="s">
        <v>22</v>
      </c>
    </row>
    <row r="10" spans="1:13" x14ac:dyDescent="0.35">
      <c r="A10" t="s">
        <v>71</v>
      </c>
      <c r="B10" s="2">
        <v>46243</v>
      </c>
      <c r="C10" t="s">
        <v>72</v>
      </c>
      <c r="D10" t="s">
        <v>73</v>
      </c>
      <c r="E10" t="s">
        <v>16</v>
      </c>
      <c r="F10" t="s">
        <v>17</v>
      </c>
      <c r="G10" t="s">
        <v>18</v>
      </c>
      <c r="H10">
        <v>2</v>
      </c>
      <c r="I10">
        <v>2200</v>
      </c>
      <c r="J10" t="s">
        <v>45</v>
      </c>
      <c r="K10" t="s">
        <v>20</v>
      </c>
      <c r="L10" t="s">
        <v>21</v>
      </c>
      <c r="M10" t="s">
        <v>22</v>
      </c>
    </row>
    <row r="11" spans="1:13" x14ac:dyDescent="0.35">
      <c r="A11" t="s">
        <v>74</v>
      </c>
      <c r="B11" s="2">
        <v>46244</v>
      </c>
      <c r="C11" t="s">
        <v>75</v>
      </c>
      <c r="D11" t="s">
        <v>76</v>
      </c>
      <c r="E11" t="s">
        <v>26</v>
      </c>
      <c r="F11" t="s">
        <v>27</v>
      </c>
      <c r="G11" t="s">
        <v>28</v>
      </c>
      <c r="H11">
        <v>3</v>
      </c>
      <c r="I11">
        <v>500</v>
      </c>
      <c r="J11" t="s">
        <v>19</v>
      </c>
      <c r="K11" t="s">
        <v>29</v>
      </c>
      <c r="L11" t="s">
        <v>30</v>
      </c>
      <c r="M11" t="s">
        <v>55</v>
      </c>
    </row>
    <row r="12" spans="1:13" x14ac:dyDescent="0.35">
      <c r="A12" t="s">
        <v>77</v>
      </c>
      <c r="B12" s="2">
        <v>46245</v>
      </c>
      <c r="C12" t="s">
        <v>14</v>
      </c>
      <c r="D12" t="s">
        <v>15</v>
      </c>
      <c r="E12" t="s">
        <v>34</v>
      </c>
      <c r="F12" t="s">
        <v>35</v>
      </c>
      <c r="G12" t="s">
        <v>36</v>
      </c>
      <c r="H12">
        <v>4</v>
      </c>
      <c r="I12">
        <v>1800</v>
      </c>
      <c r="J12" t="s">
        <v>19</v>
      </c>
      <c r="K12" t="s">
        <v>38</v>
      </c>
      <c r="L12" t="s">
        <v>39</v>
      </c>
      <c r="M12" t="s">
        <v>22</v>
      </c>
    </row>
    <row r="13" spans="1:13" x14ac:dyDescent="0.35">
      <c r="A13" t="s">
        <v>78</v>
      </c>
      <c r="B13" s="2">
        <v>46246</v>
      </c>
      <c r="C13" t="s">
        <v>24</v>
      </c>
      <c r="D13" t="s">
        <v>79</v>
      </c>
      <c r="E13" t="s">
        <v>43</v>
      </c>
      <c r="F13" t="s">
        <v>44</v>
      </c>
      <c r="G13" t="s">
        <v>18</v>
      </c>
      <c r="H13">
        <v>5</v>
      </c>
      <c r="I13">
        <v>1800</v>
      </c>
      <c r="J13" t="s">
        <v>19</v>
      </c>
      <c r="K13" t="s">
        <v>46</v>
      </c>
      <c r="L13" t="s">
        <v>47</v>
      </c>
      <c r="M13" t="s">
        <v>22</v>
      </c>
    </row>
    <row r="14" spans="1:13" x14ac:dyDescent="0.35">
      <c r="A14" t="s">
        <v>80</v>
      </c>
      <c r="B14" s="2">
        <v>46247</v>
      </c>
      <c r="C14" t="s">
        <v>32</v>
      </c>
      <c r="D14" t="s">
        <v>33</v>
      </c>
      <c r="E14" t="s">
        <v>51</v>
      </c>
      <c r="F14" t="s">
        <v>52</v>
      </c>
      <c r="G14" t="s">
        <v>53</v>
      </c>
      <c r="H14">
        <v>6</v>
      </c>
      <c r="I14">
        <v>3500</v>
      </c>
      <c r="J14" t="s">
        <v>37</v>
      </c>
      <c r="K14" t="s">
        <v>20</v>
      </c>
      <c r="L14" t="s">
        <v>21</v>
      </c>
      <c r="M14" t="s">
        <v>22</v>
      </c>
    </row>
    <row r="15" spans="1:13" x14ac:dyDescent="0.35">
      <c r="A15" t="s">
        <v>81</v>
      </c>
      <c r="B15" s="2">
        <v>46248</v>
      </c>
      <c r="C15" t="s">
        <v>41</v>
      </c>
      <c r="D15" t="s">
        <v>42</v>
      </c>
      <c r="E15" t="s">
        <v>59</v>
      </c>
      <c r="F15" t="s">
        <v>60</v>
      </c>
      <c r="G15" t="s">
        <v>36</v>
      </c>
      <c r="H15">
        <v>7</v>
      </c>
      <c r="I15">
        <v>3200</v>
      </c>
      <c r="J15" t="s">
        <v>45</v>
      </c>
      <c r="K15" t="s">
        <v>29</v>
      </c>
      <c r="L15" t="s">
        <v>30</v>
      </c>
      <c r="M15" t="s">
        <v>22</v>
      </c>
    </row>
    <row r="16" spans="1:13" x14ac:dyDescent="0.35">
      <c r="A16" t="s">
        <v>82</v>
      </c>
      <c r="B16" s="2">
        <v>46249</v>
      </c>
      <c r="C16" t="s">
        <v>49</v>
      </c>
      <c r="D16" t="s">
        <v>50</v>
      </c>
      <c r="E16" t="s">
        <v>64</v>
      </c>
      <c r="F16" t="s">
        <v>65</v>
      </c>
      <c r="G16" t="s">
        <v>28</v>
      </c>
      <c r="H16">
        <v>8</v>
      </c>
      <c r="I16">
        <v>1200</v>
      </c>
      <c r="J16" t="s">
        <v>54</v>
      </c>
      <c r="K16" t="s">
        <v>38</v>
      </c>
      <c r="L16" t="s">
        <v>39</v>
      </c>
      <c r="M16" t="s">
        <v>55</v>
      </c>
    </row>
    <row r="17" spans="1:13" x14ac:dyDescent="0.35">
      <c r="A17" t="s">
        <v>83</v>
      </c>
      <c r="B17" s="2">
        <v>46250</v>
      </c>
      <c r="C17" t="s">
        <v>57</v>
      </c>
      <c r="D17" t="s">
        <v>58</v>
      </c>
      <c r="E17" t="s">
        <v>69</v>
      </c>
      <c r="F17" t="s">
        <v>70</v>
      </c>
      <c r="G17" t="s">
        <v>36</v>
      </c>
      <c r="H17">
        <v>1</v>
      </c>
      <c r="I17">
        <v>14500</v>
      </c>
      <c r="J17" t="s">
        <v>54</v>
      </c>
      <c r="K17" t="s">
        <v>46</v>
      </c>
      <c r="L17" t="s">
        <v>47</v>
      </c>
      <c r="M17" t="s">
        <v>22</v>
      </c>
    </row>
    <row r="18" spans="1:13" x14ac:dyDescent="0.35">
      <c r="A18" t="s">
        <v>84</v>
      </c>
      <c r="B18" s="2">
        <v>46251</v>
      </c>
      <c r="C18" t="s">
        <v>62</v>
      </c>
      <c r="D18" t="s">
        <v>63</v>
      </c>
      <c r="E18" t="s">
        <v>16</v>
      </c>
      <c r="F18" t="s">
        <v>17</v>
      </c>
      <c r="G18" t="s">
        <v>18</v>
      </c>
      <c r="H18">
        <v>2</v>
      </c>
      <c r="I18">
        <v>2200</v>
      </c>
      <c r="J18" t="s">
        <v>54</v>
      </c>
      <c r="K18" t="s">
        <v>20</v>
      </c>
      <c r="L18" t="s">
        <v>21</v>
      </c>
      <c r="M18" t="s">
        <v>22</v>
      </c>
    </row>
    <row r="19" spans="1:13" x14ac:dyDescent="0.35">
      <c r="A19" t="s">
        <v>85</v>
      </c>
      <c r="B19" s="2">
        <v>46252</v>
      </c>
      <c r="C19" t="s">
        <v>67</v>
      </c>
      <c r="D19" t="s">
        <v>68</v>
      </c>
      <c r="E19" t="s">
        <v>26</v>
      </c>
      <c r="F19" t="s">
        <v>27</v>
      </c>
      <c r="G19" t="s">
        <v>28</v>
      </c>
      <c r="H19">
        <v>3</v>
      </c>
      <c r="I19">
        <v>500</v>
      </c>
      <c r="J19" t="s">
        <v>37</v>
      </c>
      <c r="K19" t="s">
        <v>29</v>
      </c>
      <c r="L19" t="s">
        <v>30</v>
      </c>
      <c r="M19" t="s">
        <v>22</v>
      </c>
    </row>
    <row r="20" spans="1:13" x14ac:dyDescent="0.35">
      <c r="A20" t="s">
        <v>86</v>
      </c>
      <c r="B20" s="2">
        <v>46253</v>
      </c>
      <c r="C20" t="s">
        <v>72</v>
      </c>
      <c r="D20" t="s">
        <v>73</v>
      </c>
      <c r="E20" t="s">
        <v>34</v>
      </c>
      <c r="F20" t="s">
        <v>35</v>
      </c>
      <c r="G20" t="s">
        <v>36</v>
      </c>
      <c r="H20">
        <v>4</v>
      </c>
      <c r="I20">
        <v>1800</v>
      </c>
      <c r="J20" t="s">
        <v>45</v>
      </c>
      <c r="K20" t="s">
        <v>38</v>
      </c>
      <c r="L20" t="s">
        <v>39</v>
      </c>
      <c r="M20" t="s">
        <v>22</v>
      </c>
    </row>
    <row r="21" spans="1:13" x14ac:dyDescent="0.35">
      <c r="A21" t="s">
        <v>87</v>
      </c>
      <c r="B21" s="2">
        <v>46254</v>
      </c>
      <c r="C21" t="s">
        <v>75</v>
      </c>
      <c r="D21" t="s">
        <v>76</v>
      </c>
      <c r="E21" t="s">
        <v>43</v>
      </c>
      <c r="F21" t="s">
        <v>44</v>
      </c>
      <c r="G21" t="s">
        <v>18</v>
      </c>
      <c r="H21">
        <v>5</v>
      </c>
      <c r="I21">
        <v>1800</v>
      </c>
      <c r="J21" t="s">
        <v>19</v>
      </c>
      <c r="K21" t="s">
        <v>46</v>
      </c>
      <c r="L21" t="s">
        <v>47</v>
      </c>
      <c r="M21" t="s">
        <v>55</v>
      </c>
    </row>
    <row r="22" spans="1:13" x14ac:dyDescent="0.35">
      <c r="A22" t="s">
        <v>88</v>
      </c>
      <c r="B22" s="2">
        <v>46255</v>
      </c>
      <c r="C22" t="s">
        <v>14</v>
      </c>
      <c r="D22" t="s">
        <v>15</v>
      </c>
      <c r="E22" t="s">
        <v>51</v>
      </c>
      <c r="F22" t="s">
        <v>52</v>
      </c>
      <c r="G22" t="s">
        <v>53</v>
      </c>
      <c r="H22">
        <v>6</v>
      </c>
      <c r="I22">
        <v>3500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5">
      <c r="A23" t="s">
        <v>89</v>
      </c>
      <c r="B23" s="2">
        <v>46256</v>
      </c>
      <c r="C23" t="s">
        <v>24</v>
      </c>
      <c r="D23" t="s">
        <v>25</v>
      </c>
      <c r="E23" t="s">
        <v>59</v>
      </c>
      <c r="F23" t="s">
        <v>60</v>
      </c>
      <c r="G23" t="s">
        <v>36</v>
      </c>
      <c r="H23">
        <v>7</v>
      </c>
      <c r="I23">
        <v>3200</v>
      </c>
      <c r="J23" t="s">
        <v>19</v>
      </c>
      <c r="K23" t="s">
        <v>29</v>
      </c>
      <c r="L23" t="s">
        <v>30</v>
      </c>
      <c r="M23" t="s">
        <v>22</v>
      </c>
    </row>
    <row r="24" spans="1:13" x14ac:dyDescent="0.35">
      <c r="A24" t="s">
        <v>90</v>
      </c>
      <c r="B24" s="2">
        <v>46257</v>
      </c>
      <c r="C24" t="s">
        <v>32</v>
      </c>
      <c r="D24" t="s">
        <v>33</v>
      </c>
      <c r="E24" t="s">
        <v>64</v>
      </c>
      <c r="F24" t="s">
        <v>65</v>
      </c>
      <c r="G24" t="s">
        <v>28</v>
      </c>
      <c r="H24">
        <v>8</v>
      </c>
      <c r="I24">
        <v>1200</v>
      </c>
      <c r="J24" t="s">
        <v>37</v>
      </c>
      <c r="K24" t="s">
        <v>38</v>
      </c>
      <c r="L24" t="s">
        <v>39</v>
      </c>
      <c r="M24" t="s">
        <v>22</v>
      </c>
    </row>
    <row r="25" spans="1:13" x14ac:dyDescent="0.35">
      <c r="A25" t="s">
        <v>91</v>
      </c>
      <c r="B25" s="2">
        <v>46258</v>
      </c>
      <c r="C25" t="s">
        <v>41</v>
      </c>
      <c r="D25" t="s">
        <v>42</v>
      </c>
      <c r="E25" t="s">
        <v>69</v>
      </c>
      <c r="F25" t="s">
        <v>70</v>
      </c>
      <c r="G25" t="s">
        <v>36</v>
      </c>
      <c r="H25">
        <v>1</v>
      </c>
      <c r="I25">
        <v>14500</v>
      </c>
      <c r="J25" t="s">
        <v>45</v>
      </c>
      <c r="K25" t="s">
        <v>46</v>
      </c>
      <c r="L25" t="s">
        <v>47</v>
      </c>
      <c r="M25" t="s">
        <v>22</v>
      </c>
    </row>
    <row r="26" spans="1:13" x14ac:dyDescent="0.35">
      <c r="A26" t="s">
        <v>92</v>
      </c>
      <c r="B26" s="2">
        <v>46259</v>
      </c>
      <c r="C26" t="s">
        <v>49</v>
      </c>
      <c r="D26" t="s">
        <v>50</v>
      </c>
      <c r="E26" t="s">
        <v>16</v>
      </c>
      <c r="F26" t="s">
        <v>17</v>
      </c>
      <c r="G26" t="s">
        <v>18</v>
      </c>
      <c r="H26">
        <v>2</v>
      </c>
      <c r="I26">
        <v>2200</v>
      </c>
      <c r="J26" t="s">
        <v>54</v>
      </c>
      <c r="K26" t="s">
        <v>20</v>
      </c>
      <c r="L26" t="s">
        <v>21</v>
      </c>
      <c r="M26" t="s">
        <v>55</v>
      </c>
    </row>
    <row r="27" spans="1:13" x14ac:dyDescent="0.35">
      <c r="A27" t="s">
        <v>93</v>
      </c>
      <c r="B27" s="2">
        <v>46260</v>
      </c>
      <c r="C27" t="s">
        <v>57</v>
      </c>
      <c r="D27" t="s">
        <v>58</v>
      </c>
      <c r="E27" t="s">
        <v>26</v>
      </c>
      <c r="F27" t="s">
        <v>27</v>
      </c>
      <c r="G27" t="s">
        <v>28</v>
      </c>
      <c r="H27">
        <v>3</v>
      </c>
      <c r="I27">
        <v>500</v>
      </c>
      <c r="J27" t="s">
        <v>54</v>
      </c>
      <c r="K27" t="s">
        <v>29</v>
      </c>
      <c r="L27" t="s">
        <v>30</v>
      </c>
      <c r="M27" t="s">
        <v>22</v>
      </c>
    </row>
    <row r="28" spans="1:13" x14ac:dyDescent="0.35">
      <c r="A28" t="s">
        <v>94</v>
      </c>
      <c r="B28" s="2">
        <v>46261</v>
      </c>
      <c r="C28" t="s">
        <v>62</v>
      </c>
      <c r="D28" t="s">
        <v>63</v>
      </c>
      <c r="E28" t="s">
        <v>34</v>
      </c>
      <c r="F28" t="s">
        <v>35</v>
      </c>
      <c r="G28" t="s">
        <v>95</v>
      </c>
      <c r="H28">
        <v>4</v>
      </c>
      <c r="I28">
        <v>1800</v>
      </c>
      <c r="J28" t="s">
        <v>54</v>
      </c>
      <c r="K28" t="s">
        <v>38</v>
      </c>
      <c r="L28" t="s">
        <v>39</v>
      </c>
      <c r="M28" t="s">
        <v>22</v>
      </c>
    </row>
    <row r="29" spans="1:13" x14ac:dyDescent="0.35">
      <c r="A29" t="s">
        <v>96</v>
      </c>
      <c r="B29" s="2">
        <v>46262</v>
      </c>
      <c r="C29" t="s">
        <v>67</v>
      </c>
      <c r="D29" t="s">
        <v>68</v>
      </c>
      <c r="E29" t="s">
        <v>43</v>
      </c>
      <c r="F29" t="s">
        <v>44</v>
      </c>
      <c r="G29" t="s">
        <v>18</v>
      </c>
      <c r="H29">
        <v>5</v>
      </c>
      <c r="I29">
        <v>1800</v>
      </c>
      <c r="J29" t="s">
        <v>37</v>
      </c>
      <c r="K29" t="s">
        <v>46</v>
      </c>
      <c r="L29" t="s">
        <v>47</v>
      </c>
      <c r="M29" t="s">
        <v>22</v>
      </c>
    </row>
    <row r="30" spans="1:13" x14ac:dyDescent="0.35">
      <c r="A30" t="s">
        <v>97</v>
      </c>
      <c r="B30" s="2">
        <v>46235</v>
      </c>
      <c r="C30" t="s">
        <v>72</v>
      </c>
      <c r="D30" t="s">
        <v>73</v>
      </c>
      <c r="E30" t="s">
        <v>51</v>
      </c>
      <c r="F30" t="s">
        <v>52</v>
      </c>
      <c r="G30" t="s">
        <v>53</v>
      </c>
      <c r="H30">
        <v>6</v>
      </c>
      <c r="I30">
        <v>3500</v>
      </c>
      <c r="J30" t="s">
        <v>45</v>
      </c>
      <c r="K30" t="s">
        <v>20</v>
      </c>
      <c r="L30" t="s">
        <v>21</v>
      </c>
      <c r="M30" t="s">
        <v>22</v>
      </c>
    </row>
    <row r="31" spans="1:13" x14ac:dyDescent="0.35">
      <c r="A31" t="s">
        <v>98</v>
      </c>
      <c r="B31" s="2">
        <v>46236</v>
      </c>
      <c r="C31" t="s">
        <v>75</v>
      </c>
      <c r="D31" t="s">
        <v>76</v>
      </c>
      <c r="E31" t="s">
        <v>59</v>
      </c>
      <c r="F31" t="s">
        <v>60</v>
      </c>
      <c r="G31" t="s">
        <v>36</v>
      </c>
      <c r="H31">
        <v>7</v>
      </c>
      <c r="I31">
        <v>3200</v>
      </c>
      <c r="J31" t="s">
        <v>19</v>
      </c>
      <c r="K31" t="s">
        <v>29</v>
      </c>
      <c r="L31" t="s">
        <v>30</v>
      </c>
      <c r="M31" t="s">
        <v>55</v>
      </c>
    </row>
    <row r="32" spans="1:13" x14ac:dyDescent="0.35">
      <c r="A32" t="s">
        <v>99</v>
      </c>
      <c r="B32" s="2">
        <v>46237</v>
      </c>
      <c r="C32" t="s">
        <v>14</v>
      </c>
      <c r="D32" t="s">
        <v>15</v>
      </c>
      <c r="E32" t="s">
        <v>64</v>
      </c>
      <c r="F32" t="s">
        <v>65</v>
      </c>
      <c r="G32" t="s">
        <v>28</v>
      </c>
      <c r="H32">
        <v>8</v>
      </c>
      <c r="I32">
        <v>1200</v>
      </c>
      <c r="J32" t="s">
        <v>19</v>
      </c>
      <c r="K32" t="s">
        <v>38</v>
      </c>
      <c r="L32" t="s">
        <v>39</v>
      </c>
      <c r="M32" t="s">
        <v>22</v>
      </c>
    </row>
    <row r="33" spans="1:13" x14ac:dyDescent="0.35">
      <c r="A33" t="s">
        <v>100</v>
      </c>
      <c r="B33" s="2">
        <v>46238</v>
      </c>
      <c r="C33" t="s">
        <v>24</v>
      </c>
      <c r="D33" t="s">
        <v>25</v>
      </c>
      <c r="E33" t="s">
        <v>69</v>
      </c>
      <c r="F33" t="s">
        <v>70</v>
      </c>
      <c r="G33" t="s">
        <v>36</v>
      </c>
      <c r="H33">
        <v>1</v>
      </c>
      <c r="I33">
        <v>14500</v>
      </c>
      <c r="J33" t="s">
        <v>19</v>
      </c>
      <c r="K33" t="s">
        <v>46</v>
      </c>
      <c r="L33" t="s">
        <v>47</v>
      </c>
      <c r="M33" t="s">
        <v>22</v>
      </c>
    </row>
    <row r="34" spans="1:13" x14ac:dyDescent="0.35">
      <c r="A34" t="s">
        <v>101</v>
      </c>
      <c r="B34" s="2">
        <v>46239</v>
      </c>
      <c r="C34" t="s">
        <v>32</v>
      </c>
      <c r="D34" t="s">
        <v>33</v>
      </c>
      <c r="E34" t="s">
        <v>16</v>
      </c>
      <c r="F34" t="s">
        <v>17</v>
      </c>
      <c r="G34" t="s">
        <v>18</v>
      </c>
      <c r="H34">
        <v>2</v>
      </c>
      <c r="I34">
        <v>2200</v>
      </c>
      <c r="J34" t="s">
        <v>37</v>
      </c>
      <c r="K34" t="s">
        <v>20</v>
      </c>
      <c r="L34" t="s">
        <v>21</v>
      </c>
      <c r="M34" t="s">
        <v>22</v>
      </c>
    </row>
    <row r="35" spans="1:13" x14ac:dyDescent="0.35">
      <c r="A35" t="s">
        <v>102</v>
      </c>
      <c r="B35" s="2">
        <v>46240</v>
      </c>
      <c r="C35" t="s">
        <v>41</v>
      </c>
      <c r="D35" t="s">
        <v>42</v>
      </c>
      <c r="E35" t="s">
        <v>26</v>
      </c>
      <c r="F35" t="s">
        <v>27</v>
      </c>
      <c r="G35" t="s">
        <v>28</v>
      </c>
      <c r="H35">
        <v>3</v>
      </c>
      <c r="I35">
        <v>500</v>
      </c>
      <c r="J35" t="s">
        <v>45</v>
      </c>
      <c r="K35" t="s">
        <v>29</v>
      </c>
      <c r="L35" t="s">
        <v>30</v>
      </c>
      <c r="M35" t="s">
        <v>22</v>
      </c>
    </row>
    <row r="36" spans="1:13" x14ac:dyDescent="0.35">
      <c r="A36" t="s">
        <v>103</v>
      </c>
      <c r="B36" s="2">
        <v>46241</v>
      </c>
      <c r="C36" t="s">
        <v>49</v>
      </c>
      <c r="D36" t="s">
        <v>50</v>
      </c>
      <c r="E36" t="s">
        <v>34</v>
      </c>
      <c r="F36" t="s">
        <v>35</v>
      </c>
      <c r="G36" t="s">
        <v>36</v>
      </c>
      <c r="H36">
        <v>4</v>
      </c>
      <c r="I36">
        <v>1800</v>
      </c>
      <c r="J36" t="s">
        <v>54</v>
      </c>
      <c r="K36" t="s">
        <v>38</v>
      </c>
      <c r="L36" t="s">
        <v>39</v>
      </c>
      <c r="M36" t="s">
        <v>55</v>
      </c>
    </row>
    <row r="37" spans="1:13" x14ac:dyDescent="0.35">
      <c r="A37" t="s">
        <v>104</v>
      </c>
      <c r="B37" s="2">
        <v>46242</v>
      </c>
      <c r="C37" t="s">
        <v>57</v>
      </c>
      <c r="D37" t="s">
        <v>58</v>
      </c>
      <c r="E37" t="s">
        <v>43</v>
      </c>
      <c r="F37" t="s">
        <v>44</v>
      </c>
      <c r="G37" t="s">
        <v>18</v>
      </c>
      <c r="H37">
        <v>5</v>
      </c>
      <c r="I37">
        <v>1800</v>
      </c>
      <c r="J37" t="s">
        <v>54</v>
      </c>
      <c r="K37" t="s">
        <v>46</v>
      </c>
      <c r="L37" t="s">
        <v>47</v>
      </c>
      <c r="M37" t="s">
        <v>22</v>
      </c>
    </row>
    <row r="38" spans="1:13" x14ac:dyDescent="0.35">
      <c r="A38" t="s">
        <v>105</v>
      </c>
      <c r="B38" s="2">
        <v>46243</v>
      </c>
      <c r="C38" t="s">
        <v>62</v>
      </c>
      <c r="D38" t="s">
        <v>63</v>
      </c>
      <c r="E38" t="s">
        <v>51</v>
      </c>
      <c r="F38" t="s">
        <v>52</v>
      </c>
      <c r="G38" t="s">
        <v>53</v>
      </c>
      <c r="H38">
        <v>6</v>
      </c>
      <c r="I38">
        <v>3500</v>
      </c>
      <c r="J38" t="s">
        <v>54</v>
      </c>
      <c r="K38" t="s">
        <v>20</v>
      </c>
      <c r="L38" t="s">
        <v>21</v>
      </c>
      <c r="M38" t="s">
        <v>22</v>
      </c>
    </row>
    <row r="39" spans="1:13" x14ac:dyDescent="0.35">
      <c r="A39" t="s">
        <v>106</v>
      </c>
      <c r="B39" s="2">
        <v>46244</v>
      </c>
      <c r="C39" t="s">
        <v>67</v>
      </c>
      <c r="D39" t="s">
        <v>68</v>
      </c>
      <c r="E39" t="s">
        <v>59</v>
      </c>
      <c r="F39" t="s">
        <v>60</v>
      </c>
      <c r="G39" t="s">
        <v>36</v>
      </c>
      <c r="H39">
        <v>7</v>
      </c>
      <c r="I39">
        <v>3200</v>
      </c>
      <c r="J39" t="s">
        <v>37</v>
      </c>
      <c r="K39" t="s">
        <v>29</v>
      </c>
      <c r="L39" t="s">
        <v>30</v>
      </c>
      <c r="M39" t="s">
        <v>22</v>
      </c>
    </row>
    <row r="40" spans="1:13" x14ac:dyDescent="0.35">
      <c r="A40" t="s">
        <v>107</v>
      </c>
      <c r="B40" s="2">
        <v>46245</v>
      </c>
      <c r="C40" t="s">
        <v>72</v>
      </c>
      <c r="D40" t="s">
        <v>73</v>
      </c>
      <c r="E40" t="s">
        <v>64</v>
      </c>
      <c r="F40" t="s">
        <v>65</v>
      </c>
      <c r="G40" t="s">
        <v>28</v>
      </c>
      <c r="H40">
        <v>8</v>
      </c>
      <c r="I40">
        <v>1200</v>
      </c>
      <c r="J40" t="s">
        <v>45</v>
      </c>
      <c r="K40" t="s">
        <v>38</v>
      </c>
      <c r="L40" t="s">
        <v>39</v>
      </c>
      <c r="M40" t="s">
        <v>22</v>
      </c>
    </row>
    <row r="41" spans="1:13" x14ac:dyDescent="0.35">
      <c r="A41" t="s">
        <v>108</v>
      </c>
      <c r="B41" s="2">
        <v>46246</v>
      </c>
      <c r="C41" t="s">
        <v>75</v>
      </c>
      <c r="D41" t="s">
        <v>76</v>
      </c>
      <c r="E41" t="s">
        <v>69</v>
      </c>
      <c r="F41" t="s">
        <v>70</v>
      </c>
      <c r="G41" t="s">
        <v>36</v>
      </c>
      <c r="H41">
        <v>1</v>
      </c>
      <c r="I41">
        <v>14500</v>
      </c>
      <c r="J41" t="s">
        <v>19</v>
      </c>
      <c r="K41" t="s">
        <v>46</v>
      </c>
      <c r="L41" t="s">
        <v>47</v>
      </c>
      <c r="M41" t="s">
        <v>55</v>
      </c>
    </row>
    <row r="42" spans="1:13" x14ac:dyDescent="0.35">
      <c r="A42" t="s">
        <v>109</v>
      </c>
      <c r="B42" s="2">
        <v>46247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>
        <v>2</v>
      </c>
      <c r="I42">
        <v>2200</v>
      </c>
      <c r="J42" t="s">
        <v>19</v>
      </c>
      <c r="K42" t="s">
        <v>20</v>
      </c>
      <c r="L42" t="s">
        <v>21</v>
      </c>
      <c r="M42" t="s">
        <v>22</v>
      </c>
    </row>
    <row r="43" spans="1:13" x14ac:dyDescent="0.35">
      <c r="A43" t="s">
        <v>110</v>
      </c>
      <c r="B43" s="2">
        <v>46248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>
        <v>3</v>
      </c>
      <c r="I43">
        <v>500</v>
      </c>
      <c r="J43" t="s">
        <v>19</v>
      </c>
      <c r="K43" t="s">
        <v>29</v>
      </c>
      <c r="L43" t="s">
        <v>30</v>
      </c>
      <c r="M43" t="s">
        <v>22</v>
      </c>
    </row>
    <row r="44" spans="1:13" x14ac:dyDescent="0.35">
      <c r="A44" t="s">
        <v>111</v>
      </c>
      <c r="B44" s="2">
        <v>46249</v>
      </c>
      <c r="C44" t="s">
        <v>32</v>
      </c>
      <c r="D44" t="s">
        <v>33</v>
      </c>
      <c r="E44" t="s">
        <v>34</v>
      </c>
      <c r="F44" t="s">
        <v>35</v>
      </c>
      <c r="G44" t="s">
        <v>36</v>
      </c>
      <c r="H44">
        <v>4</v>
      </c>
      <c r="I44">
        <v>1800</v>
      </c>
      <c r="J44" t="s">
        <v>37</v>
      </c>
      <c r="K44" t="s">
        <v>38</v>
      </c>
      <c r="L44" t="s">
        <v>39</v>
      </c>
      <c r="M44" t="s">
        <v>22</v>
      </c>
    </row>
    <row r="45" spans="1:13" x14ac:dyDescent="0.35">
      <c r="A45" t="s">
        <v>112</v>
      </c>
      <c r="B45" s="2">
        <v>46250</v>
      </c>
      <c r="C45" t="s">
        <v>41</v>
      </c>
      <c r="D45" t="s">
        <v>42</v>
      </c>
      <c r="E45" t="s">
        <v>43</v>
      </c>
      <c r="F45" t="s">
        <v>44</v>
      </c>
      <c r="G45" t="s">
        <v>18</v>
      </c>
      <c r="H45">
        <v>5</v>
      </c>
      <c r="I45">
        <v>1800</v>
      </c>
      <c r="J45" t="s">
        <v>45</v>
      </c>
      <c r="K45" t="s">
        <v>46</v>
      </c>
      <c r="L45" t="s">
        <v>47</v>
      </c>
      <c r="M45" t="s">
        <v>113</v>
      </c>
    </row>
    <row r="46" spans="1:13" x14ac:dyDescent="0.35">
      <c r="A46" t="s">
        <v>114</v>
      </c>
      <c r="B46" s="2">
        <v>46251</v>
      </c>
      <c r="C46" t="s">
        <v>49</v>
      </c>
      <c r="D46" t="s">
        <v>50</v>
      </c>
      <c r="E46" t="s">
        <v>51</v>
      </c>
      <c r="F46" t="s">
        <v>52</v>
      </c>
      <c r="G46" t="s">
        <v>53</v>
      </c>
      <c r="H46">
        <v>6</v>
      </c>
      <c r="I46">
        <v>3500</v>
      </c>
      <c r="J46" t="s">
        <v>54</v>
      </c>
      <c r="K46" t="s">
        <v>20</v>
      </c>
      <c r="L46" t="s">
        <v>21</v>
      </c>
      <c r="M46" t="s">
        <v>55</v>
      </c>
    </row>
    <row r="47" spans="1:13" x14ac:dyDescent="0.35">
      <c r="A47" t="s">
        <v>115</v>
      </c>
      <c r="B47" s="2">
        <v>46252</v>
      </c>
      <c r="C47" t="s">
        <v>57</v>
      </c>
      <c r="D47" t="s">
        <v>58</v>
      </c>
      <c r="E47" t="s">
        <v>59</v>
      </c>
      <c r="F47" t="s">
        <v>60</v>
      </c>
      <c r="G47" t="s">
        <v>36</v>
      </c>
      <c r="H47">
        <v>7</v>
      </c>
      <c r="I47">
        <v>3200</v>
      </c>
      <c r="J47" t="s">
        <v>54</v>
      </c>
      <c r="K47" t="s">
        <v>29</v>
      </c>
      <c r="L47" t="s">
        <v>30</v>
      </c>
      <c r="M47" t="s">
        <v>22</v>
      </c>
    </row>
    <row r="48" spans="1:13" x14ac:dyDescent="0.35">
      <c r="A48" t="s">
        <v>116</v>
      </c>
      <c r="B48" s="2">
        <v>46253</v>
      </c>
      <c r="C48" t="s">
        <v>62</v>
      </c>
      <c r="D48" t="s">
        <v>63</v>
      </c>
      <c r="E48" t="s">
        <v>64</v>
      </c>
      <c r="F48" t="s">
        <v>65</v>
      </c>
      <c r="G48" t="s">
        <v>28</v>
      </c>
      <c r="H48">
        <v>8</v>
      </c>
      <c r="I48">
        <v>1200</v>
      </c>
      <c r="J48" t="s">
        <v>54</v>
      </c>
      <c r="K48" t="s">
        <v>38</v>
      </c>
      <c r="L48" t="s">
        <v>39</v>
      </c>
      <c r="M48" t="s">
        <v>22</v>
      </c>
    </row>
    <row r="49" spans="1:13" x14ac:dyDescent="0.35">
      <c r="A49" t="s">
        <v>117</v>
      </c>
      <c r="B49" s="2">
        <v>46254</v>
      </c>
      <c r="C49" t="s">
        <v>67</v>
      </c>
      <c r="D49" t="s">
        <v>68</v>
      </c>
      <c r="E49" t="s">
        <v>69</v>
      </c>
      <c r="F49" t="s">
        <v>70</v>
      </c>
      <c r="G49" t="s">
        <v>36</v>
      </c>
      <c r="H49">
        <v>1</v>
      </c>
      <c r="I49">
        <v>14500</v>
      </c>
      <c r="J49" t="s">
        <v>37</v>
      </c>
      <c r="K49" t="s">
        <v>46</v>
      </c>
      <c r="L49" t="s">
        <v>47</v>
      </c>
      <c r="M49" t="s">
        <v>22</v>
      </c>
    </row>
    <row r="50" spans="1:13" x14ac:dyDescent="0.35">
      <c r="A50" t="s">
        <v>118</v>
      </c>
      <c r="B50" s="2">
        <v>46255</v>
      </c>
      <c r="C50" t="s">
        <v>72</v>
      </c>
      <c r="D50" t="s">
        <v>73</v>
      </c>
      <c r="E50" t="s">
        <v>16</v>
      </c>
      <c r="F50" t="s">
        <v>17</v>
      </c>
      <c r="G50" t="s">
        <v>18</v>
      </c>
      <c r="H50">
        <v>2</v>
      </c>
      <c r="I50">
        <v>2200</v>
      </c>
      <c r="J50" t="s">
        <v>45</v>
      </c>
      <c r="K50" t="s">
        <v>20</v>
      </c>
      <c r="L50" t="s">
        <v>21</v>
      </c>
      <c r="M50" t="s">
        <v>22</v>
      </c>
    </row>
    <row r="51" spans="1:13" x14ac:dyDescent="0.35">
      <c r="A51" t="s">
        <v>119</v>
      </c>
      <c r="B51" s="2">
        <v>46256</v>
      </c>
      <c r="C51" t="s">
        <v>75</v>
      </c>
      <c r="D51" t="s">
        <v>76</v>
      </c>
      <c r="E51" t="s">
        <v>26</v>
      </c>
      <c r="F51" t="s">
        <v>27</v>
      </c>
      <c r="G51" t="s">
        <v>28</v>
      </c>
      <c r="H51">
        <v>3</v>
      </c>
      <c r="I51">
        <v>500</v>
      </c>
      <c r="J51" t="s">
        <v>19</v>
      </c>
      <c r="K51" t="s">
        <v>29</v>
      </c>
      <c r="L51" t="s">
        <v>30</v>
      </c>
      <c r="M51" t="s">
        <v>55</v>
      </c>
    </row>
    <row r="52" spans="1:13" x14ac:dyDescent="0.35">
      <c r="A52" t="s">
        <v>120</v>
      </c>
      <c r="B52" s="2">
        <v>46257</v>
      </c>
      <c r="C52" t="s">
        <v>14</v>
      </c>
      <c r="D52" t="s">
        <v>15</v>
      </c>
      <c r="E52" t="s">
        <v>34</v>
      </c>
      <c r="F52" t="s">
        <v>35</v>
      </c>
      <c r="G52" t="s">
        <v>36</v>
      </c>
      <c r="H52">
        <v>4</v>
      </c>
      <c r="I52">
        <v>1800</v>
      </c>
      <c r="J52" t="s">
        <v>19</v>
      </c>
      <c r="K52" t="s">
        <v>38</v>
      </c>
      <c r="L52" t="s">
        <v>39</v>
      </c>
      <c r="M52" t="s">
        <v>22</v>
      </c>
    </row>
    <row r="53" spans="1:13" x14ac:dyDescent="0.35">
      <c r="A53" t="s">
        <v>121</v>
      </c>
      <c r="B53" s="2">
        <v>46258</v>
      </c>
      <c r="C53" t="s">
        <v>24</v>
      </c>
      <c r="D53" t="s">
        <v>25</v>
      </c>
      <c r="E53" t="s">
        <v>43</v>
      </c>
      <c r="F53" t="s">
        <v>44</v>
      </c>
      <c r="G53" t="s">
        <v>18</v>
      </c>
      <c r="H53">
        <v>5</v>
      </c>
      <c r="I53">
        <v>1800</v>
      </c>
      <c r="J53" t="s">
        <v>19</v>
      </c>
      <c r="K53" t="s">
        <v>46</v>
      </c>
      <c r="L53" t="s">
        <v>47</v>
      </c>
      <c r="M53" t="s">
        <v>22</v>
      </c>
    </row>
    <row r="54" spans="1:13" x14ac:dyDescent="0.35">
      <c r="A54" t="s">
        <v>122</v>
      </c>
      <c r="B54" s="2">
        <v>46259</v>
      </c>
      <c r="C54" t="s">
        <v>32</v>
      </c>
      <c r="D54" t="s">
        <v>33</v>
      </c>
      <c r="E54" t="s">
        <v>51</v>
      </c>
      <c r="F54" t="s">
        <v>52</v>
      </c>
      <c r="G54" t="s">
        <v>53</v>
      </c>
      <c r="H54">
        <v>6</v>
      </c>
      <c r="I54">
        <v>3500</v>
      </c>
      <c r="J54" t="s">
        <v>37</v>
      </c>
      <c r="K54" t="s">
        <v>20</v>
      </c>
      <c r="L54" t="s">
        <v>21</v>
      </c>
      <c r="M54" t="s">
        <v>22</v>
      </c>
    </row>
    <row r="55" spans="1:13" x14ac:dyDescent="0.35">
      <c r="A55" t="s">
        <v>123</v>
      </c>
      <c r="B55" s="2">
        <v>46260</v>
      </c>
      <c r="C55" t="s">
        <v>41</v>
      </c>
      <c r="D55" t="s">
        <v>42</v>
      </c>
      <c r="E55" t="s">
        <v>59</v>
      </c>
      <c r="F55" t="s">
        <v>60</v>
      </c>
      <c r="G55" t="s">
        <v>36</v>
      </c>
      <c r="H55">
        <v>7</v>
      </c>
      <c r="I55">
        <v>3200</v>
      </c>
      <c r="J55" t="s">
        <v>45</v>
      </c>
      <c r="K55" t="s">
        <v>29</v>
      </c>
      <c r="L55" t="s">
        <v>30</v>
      </c>
      <c r="M55" t="s">
        <v>22</v>
      </c>
    </row>
    <row r="56" spans="1:13" x14ac:dyDescent="0.35">
      <c r="A56" t="s">
        <v>124</v>
      </c>
      <c r="B56" s="2">
        <v>46261</v>
      </c>
      <c r="C56" t="s">
        <v>49</v>
      </c>
      <c r="D56" t="s">
        <v>50</v>
      </c>
      <c r="E56" t="s">
        <v>64</v>
      </c>
      <c r="F56" t="s">
        <v>65</v>
      </c>
      <c r="G56" t="s">
        <v>28</v>
      </c>
      <c r="H56">
        <v>8</v>
      </c>
      <c r="I56">
        <v>1200</v>
      </c>
      <c r="J56" t="s">
        <v>54</v>
      </c>
      <c r="K56" t="s">
        <v>38</v>
      </c>
      <c r="L56" t="s">
        <v>39</v>
      </c>
      <c r="M56" t="s">
        <v>55</v>
      </c>
    </row>
    <row r="57" spans="1:13" x14ac:dyDescent="0.35">
      <c r="A57" t="s">
        <v>125</v>
      </c>
      <c r="B57" s="2">
        <v>46262</v>
      </c>
      <c r="C57" t="s">
        <v>57</v>
      </c>
      <c r="D57" t="s">
        <v>58</v>
      </c>
      <c r="E57" t="s">
        <v>69</v>
      </c>
      <c r="F57" t="s">
        <v>70</v>
      </c>
      <c r="G57" t="s">
        <v>36</v>
      </c>
      <c r="H57">
        <v>1</v>
      </c>
      <c r="I57">
        <v>14500</v>
      </c>
      <c r="J57" t="s">
        <v>54</v>
      </c>
      <c r="K57" t="s">
        <v>46</v>
      </c>
      <c r="L57" t="s">
        <v>47</v>
      </c>
      <c r="M57" t="s">
        <v>22</v>
      </c>
    </row>
    <row r="58" spans="1:13" x14ac:dyDescent="0.35">
      <c r="A58" t="s">
        <v>126</v>
      </c>
      <c r="B58" s="2">
        <v>46235</v>
      </c>
      <c r="C58" t="s">
        <v>62</v>
      </c>
      <c r="D58" t="s">
        <v>63</v>
      </c>
      <c r="E58" t="s">
        <v>16</v>
      </c>
      <c r="F58" t="s">
        <v>17</v>
      </c>
      <c r="G58" t="s">
        <v>18</v>
      </c>
      <c r="H58">
        <v>2</v>
      </c>
      <c r="I58">
        <v>2200</v>
      </c>
      <c r="J58" t="s">
        <v>54</v>
      </c>
      <c r="K58" t="s">
        <v>20</v>
      </c>
      <c r="L58" t="s">
        <v>21</v>
      </c>
      <c r="M58" t="s">
        <v>22</v>
      </c>
    </row>
    <row r="59" spans="1:13" x14ac:dyDescent="0.35">
      <c r="A59" t="s">
        <v>127</v>
      </c>
      <c r="B59" s="2">
        <v>46236</v>
      </c>
      <c r="C59" t="s">
        <v>67</v>
      </c>
      <c r="E59" t="s">
        <v>26</v>
      </c>
      <c r="F59" t="s">
        <v>27</v>
      </c>
      <c r="G59" t="s">
        <v>28</v>
      </c>
      <c r="H59">
        <v>3</v>
      </c>
      <c r="I59">
        <v>500</v>
      </c>
      <c r="J59" t="s">
        <v>37</v>
      </c>
      <c r="K59" t="s">
        <v>29</v>
      </c>
      <c r="L59" t="s">
        <v>30</v>
      </c>
      <c r="M59" t="s">
        <v>22</v>
      </c>
    </row>
    <row r="60" spans="1:13" x14ac:dyDescent="0.35">
      <c r="A60" t="s">
        <v>128</v>
      </c>
      <c r="B60" s="2">
        <v>46237</v>
      </c>
      <c r="C60" t="s">
        <v>72</v>
      </c>
      <c r="D60" t="s">
        <v>73</v>
      </c>
      <c r="E60" t="s">
        <v>34</v>
      </c>
      <c r="F60" t="s">
        <v>35</v>
      </c>
      <c r="G60" t="s">
        <v>36</v>
      </c>
      <c r="H60">
        <v>4</v>
      </c>
      <c r="I60">
        <v>1800</v>
      </c>
      <c r="J60" t="s">
        <v>45</v>
      </c>
      <c r="K60" t="s">
        <v>38</v>
      </c>
      <c r="L60" t="s">
        <v>39</v>
      </c>
      <c r="M60" t="s">
        <v>22</v>
      </c>
    </row>
    <row r="61" spans="1:13" x14ac:dyDescent="0.35">
      <c r="A61" t="s">
        <v>129</v>
      </c>
      <c r="B61" s="2">
        <v>46238</v>
      </c>
      <c r="C61" t="s">
        <v>75</v>
      </c>
      <c r="D61" t="s">
        <v>76</v>
      </c>
      <c r="E61" t="s">
        <v>43</v>
      </c>
      <c r="F61" t="s">
        <v>44</v>
      </c>
      <c r="G61" t="s">
        <v>18</v>
      </c>
      <c r="H61">
        <v>5</v>
      </c>
      <c r="I61">
        <v>1800</v>
      </c>
      <c r="J61" t="s">
        <v>19</v>
      </c>
      <c r="K61" t="s">
        <v>46</v>
      </c>
      <c r="L61" t="s">
        <v>47</v>
      </c>
      <c r="M61" t="s">
        <v>55</v>
      </c>
    </row>
    <row r="62" spans="1:13" x14ac:dyDescent="0.35">
      <c r="A62" t="s">
        <v>130</v>
      </c>
      <c r="B62" s="2">
        <v>46239</v>
      </c>
      <c r="C62" t="s">
        <v>14</v>
      </c>
      <c r="D62" t="s">
        <v>15</v>
      </c>
      <c r="E62" t="s">
        <v>51</v>
      </c>
      <c r="F62" t="s">
        <v>52</v>
      </c>
      <c r="G62" t="s">
        <v>53</v>
      </c>
      <c r="H62">
        <v>6</v>
      </c>
      <c r="I62">
        <v>3500</v>
      </c>
      <c r="J62" t="s">
        <v>19</v>
      </c>
      <c r="K62" t="s">
        <v>20</v>
      </c>
      <c r="L62" t="s">
        <v>21</v>
      </c>
      <c r="M62" t="s">
        <v>22</v>
      </c>
    </row>
    <row r="63" spans="1:13" x14ac:dyDescent="0.35">
      <c r="A63" t="s">
        <v>131</v>
      </c>
      <c r="B63" s="2">
        <v>46240</v>
      </c>
      <c r="C63" t="s">
        <v>24</v>
      </c>
      <c r="D63" t="s">
        <v>25</v>
      </c>
      <c r="E63" t="s">
        <v>59</v>
      </c>
      <c r="F63" t="s">
        <v>60</v>
      </c>
      <c r="G63" t="s">
        <v>36</v>
      </c>
      <c r="H63">
        <v>7</v>
      </c>
      <c r="I63">
        <v>3200</v>
      </c>
      <c r="J63" t="s">
        <v>19</v>
      </c>
      <c r="K63" t="s">
        <v>29</v>
      </c>
      <c r="L63" t="s">
        <v>30</v>
      </c>
      <c r="M63" t="s">
        <v>22</v>
      </c>
    </row>
    <row r="64" spans="1:13" x14ac:dyDescent="0.35">
      <c r="A64" t="s">
        <v>132</v>
      </c>
      <c r="B64" s="2">
        <v>46241</v>
      </c>
      <c r="C64" t="s">
        <v>32</v>
      </c>
      <c r="D64" t="s">
        <v>33</v>
      </c>
      <c r="E64" t="s">
        <v>64</v>
      </c>
      <c r="F64" t="s">
        <v>65</v>
      </c>
      <c r="G64" t="s">
        <v>28</v>
      </c>
      <c r="H64">
        <v>8</v>
      </c>
      <c r="I64">
        <v>1200</v>
      </c>
      <c r="J64" t="s">
        <v>37</v>
      </c>
      <c r="K64" t="s">
        <v>38</v>
      </c>
      <c r="L64" t="s">
        <v>39</v>
      </c>
      <c r="M64" t="s">
        <v>22</v>
      </c>
    </row>
    <row r="65" spans="1:13" x14ac:dyDescent="0.35">
      <c r="A65" t="s">
        <v>133</v>
      </c>
      <c r="B65" s="2">
        <v>46242</v>
      </c>
      <c r="C65" t="s">
        <v>41</v>
      </c>
      <c r="D65" t="s">
        <v>42</v>
      </c>
      <c r="E65" t="s">
        <v>69</v>
      </c>
      <c r="F65" t="s">
        <v>70</v>
      </c>
      <c r="G65" t="s">
        <v>36</v>
      </c>
      <c r="H65">
        <v>1</v>
      </c>
      <c r="I65">
        <v>14500</v>
      </c>
      <c r="J65" t="s">
        <v>45</v>
      </c>
      <c r="K65" t="s">
        <v>46</v>
      </c>
      <c r="L65" t="s">
        <v>47</v>
      </c>
      <c r="M65" t="s">
        <v>22</v>
      </c>
    </row>
    <row r="66" spans="1:13" x14ac:dyDescent="0.35">
      <c r="A66" t="s">
        <v>134</v>
      </c>
      <c r="B66" s="2">
        <v>46243</v>
      </c>
      <c r="C66" t="s">
        <v>49</v>
      </c>
      <c r="D66" t="s">
        <v>50</v>
      </c>
      <c r="E66" t="s">
        <v>16</v>
      </c>
      <c r="F66" t="s">
        <v>17</v>
      </c>
      <c r="G66" t="s">
        <v>18</v>
      </c>
      <c r="H66">
        <v>2</v>
      </c>
      <c r="I66">
        <v>2200</v>
      </c>
      <c r="J66" t="s">
        <v>54</v>
      </c>
      <c r="K66" t="s">
        <v>20</v>
      </c>
      <c r="L66" t="s">
        <v>21</v>
      </c>
      <c r="M66" t="s">
        <v>55</v>
      </c>
    </row>
    <row r="67" spans="1:13" x14ac:dyDescent="0.35">
      <c r="A67" t="s">
        <v>135</v>
      </c>
      <c r="B67" s="2">
        <v>46244</v>
      </c>
      <c r="C67" t="s">
        <v>57</v>
      </c>
      <c r="D67" t="s">
        <v>58</v>
      </c>
      <c r="E67" t="s">
        <v>26</v>
      </c>
      <c r="F67" t="s">
        <v>27</v>
      </c>
      <c r="G67" t="s">
        <v>28</v>
      </c>
      <c r="H67">
        <v>3</v>
      </c>
      <c r="I67">
        <v>500</v>
      </c>
      <c r="J67" t="s">
        <v>54</v>
      </c>
      <c r="K67" t="s">
        <v>29</v>
      </c>
      <c r="L67" t="s">
        <v>30</v>
      </c>
      <c r="M67" t="s">
        <v>22</v>
      </c>
    </row>
    <row r="68" spans="1:13" x14ac:dyDescent="0.35">
      <c r="A68" t="s">
        <v>136</v>
      </c>
      <c r="B68" s="2">
        <v>46245</v>
      </c>
      <c r="C68" t="s">
        <v>62</v>
      </c>
      <c r="D68" t="s">
        <v>63</v>
      </c>
      <c r="E68" t="s">
        <v>34</v>
      </c>
      <c r="F68" t="s">
        <v>35</v>
      </c>
      <c r="G68" t="s">
        <v>36</v>
      </c>
      <c r="H68">
        <v>4</v>
      </c>
      <c r="I68">
        <v>1800</v>
      </c>
      <c r="J68" t="s">
        <v>54</v>
      </c>
      <c r="K68" t="s">
        <v>38</v>
      </c>
      <c r="L68" t="s">
        <v>39</v>
      </c>
      <c r="M68" t="s">
        <v>22</v>
      </c>
    </row>
    <row r="69" spans="1:13" x14ac:dyDescent="0.35">
      <c r="A69" t="s">
        <v>137</v>
      </c>
      <c r="B69" s="2">
        <v>46246</v>
      </c>
      <c r="C69" t="s">
        <v>67</v>
      </c>
      <c r="D69" t="s">
        <v>68</v>
      </c>
      <c r="E69" t="s">
        <v>43</v>
      </c>
      <c r="F69" t="s">
        <v>44</v>
      </c>
      <c r="G69" t="s">
        <v>18</v>
      </c>
      <c r="H69">
        <v>5</v>
      </c>
      <c r="I69">
        <v>1800</v>
      </c>
      <c r="J69" t="s">
        <v>37</v>
      </c>
      <c r="K69" t="s">
        <v>46</v>
      </c>
      <c r="L69" t="s">
        <v>47</v>
      </c>
      <c r="M69" t="s">
        <v>22</v>
      </c>
    </row>
    <row r="70" spans="1:13" x14ac:dyDescent="0.35">
      <c r="A70" t="s">
        <v>138</v>
      </c>
      <c r="B70" s="2">
        <v>46247</v>
      </c>
      <c r="C70" t="s">
        <v>72</v>
      </c>
      <c r="D70" t="s">
        <v>73</v>
      </c>
      <c r="E70" t="s">
        <v>51</v>
      </c>
      <c r="F70" t="s">
        <v>52</v>
      </c>
      <c r="G70" t="s">
        <v>53</v>
      </c>
      <c r="H70">
        <v>6</v>
      </c>
      <c r="I70">
        <v>3500</v>
      </c>
      <c r="J70" t="s">
        <v>45</v>
      </c>
      <c r="K70" t="s">
        <v>20</v>
      </c>
      <c r="L70" t="s">
        <v>21</v>
      </c>
      <c r="M70" t="s">
        <v>22</v>
      </c>
    </row>
    <row r="71" spans="1:13" x14ac:dyDescent="0.35">
      <c r="A71" t="s">
        <v>139</v>
      </c>
      <c r="B71" s="2">
        <v>46248</v>
      </c>
      <c r="C71" t="s">
        <v>75</v>
      </c>
      <c r="D71" t="s">
        <v>76</v>
      </c>
      <c r="E71" t="s">
        <v>59</v>
      </c>
      <c r="F71" t="s">
        <v>60</v>
      </c>
      <c r="G71" t="s">
        <v>36</v>
      </c>
      <c r="H71">
        <v>7</v>
      </c>
      <c r="I71">
        <v>3200</v>
      </c>
      <c r="J71" t="s">
        <v>19</v>
      </c>
      <c r="K71" t="s">
        <v>29</v>
      </c>
      <c r="L71" t="s">
        <v>30</v>
      </c>
      <c r="M71" t="s">
        <v>55</v>
      </c>
    </row>
    <row r="72" spans="1:13" x14ac:dyDescent="0.35">
      <c r="A72" t="s">
        <v>140</v>
      </c>
      <c r="B72" s="2">
        <v>46249</v>
      </c>
      <c r="C72" t="s">
        <v>14</v>
      </c>
      <c r="D72" t="s">
        <v>15</v>
      </c>
      <c r="E72" t="s">
        <v>64</v>
      </c>
      <c r="F72" t="s">
        <v>65</v>
      </c>
      <c r="G72" t="s">
        <v>28</v>
      </c>
      <c r="H72">
        <v>8</v>
      </c>
      <c r="I72">
        <v>1200</v>
      </c>
      <c r="J72" t="s">
        <v>19</v>
      </c>
      <c r="K72" t="s">
        <v>38</v>
      </c>
      <c r="L72" t="s">
        <v>39</v>
      </c>
      <c r="M72" t="s">
        <v>22</v>
      </c>
    </row>
    <row r="73" spans="1:13" x14ac:dyDescent="0.35">
      <c r="A73" t="s">
        <v>141</v>
      </c>
      <c r="B73" s="2">
        <v>46250</v>
      </c>
      <c r="C73" t="s">
        <v>24</v>
      </c>
      <c r="D73" t="s">
        <v>25</v>
      </c>
      <c r="E73" t="s">
        <v>69</v>
      </c>
      <c r="F73" t="s">
        <v>70</v>
      </c>
      <c r="G73" t="s">
        <v>36</v>
      </c>
      <c r="H73">
        <v>1</v>
      </c>
      <c r="I73">
        <v>14500</v>
      </c>
      <c r="J73" t="s">
        <v>19</v>
      </c>
      <c r="K73" t="s">
        <v>46</v>
      </c>
      <c r="L73" t="s">
        <v>47</v>
      </c>
      <c r="M73" t="s">
        <v>22</v>
      </c>
    </row>
    <row r="74" spans="1:13" x14ac:dyDescent="0.35">
      <c r="A74" t="s">
        <v>142</v>
      </c>
      <c r="B74" s="2">
        <v>46251</v>
      </c>
      <c r="C74" t="s">
        <v>32</v>
      </c>
      <c r="D74" t="s">
        <v>33</v>
      </c>
      <c r="E74" t="s">
        <v>16</v>
      </c>
      <c r="F74" t="s">
        <v>17</v>
      </c>
      <c r="G74" t="s">
        <v>18</v>
      </c>
      <c r="H74">
        <v>2</v>
      </c>
      <c r="I74">
        <v>2200</v>
      </c>
      <c r="K74" t="s">
        <v>20</v>
      </c>
      <c r="L74" t="s">
        <v>21</v>
      </c>
      <c r="M74" t="s">
        <v>22</v>
      </c>
    </row>
    <row r="75" spans="1:13" x14ac:dyDescent="0.35">
      <c r="A75" t="s">
        <v>143</v>
      </c>
      <c r="B75" s="2">
        <v>46252</v>
      </c>
      <c r="C75" t="s">
        <v>41</v>
      </c>
      <c r="D75" t="s">
        <v>42</v>
      </c>
      <c r="E75" t="s">
        <v>26</v>
      </c>
      <c r="F75" t="s">
        <v>27</v>
      </c>
      <c r="G75" t="s">
        <v>28</v>
      </c>
      <c r="H75">
        <v>3</v>
      </c>
      <c r="I75">
        <v>500</v>
      </c>
      <c r="J75" t="s">
        <v>45</v>
      </c>
      <c r="K75" t="s">
        <v>29</v>
      </c>
      <c r="L75" t="s">
        <v>30</v>
      </c>
      <c r="M75" t="s">
        <v>22</v>
      </c>
    </row>
    <row r="76" spans="1:13" x14ac:dyDescent="0.35">
      <c r="A76" t="s">
        <v>144</v>
      </c>
      <c r="B76" s="2">
        <v>46253</v>
      </c>
      <c r="C76" t="s">
        <v>49</v>
      </c>
      <c r="D76" t="s">
        <v>50</v>
      </c>
      <c r="E76" t="s">
        <v>34</v>
      </c>
      <c r="F76" t="s">
        <v>35</v>
      </c>
      <c r="G76" t="s">
        <v>36</v>
      </c>
      <c r="H76">
        <v>4</v>
      </c>
      <c r="I76">
        <v>1800</v>
      </c>
      <c r="J76" t="s">
        <v>54</v>
      </c>
      <c r="K76" t="s">
        <v>38</v>
      </c>
      <c r="L76" t="s">
        <v>39</v>
      </c>
      <c r="M76" t="s">
        <v>55</v>
      </c>
    </row>
    <row r="77" spans="1:13" x14ac:dyDescent="0.35">
      <c r="A77" t="s">
        <v>145</v>
      </c>
      <c r="B77" s="2">
        <v>46254</v>
      </c>
      <c r="C77" t="s">
        <v>57</v>
      </c>
      <c r="D77" t="s">
        <v>58</v>
      </c>
      <c r="E77" t="s">
        <v>43</v>
      </c>
      <c r="F77" t="s">
        <v>44</v>
      </c>
      <c r="G77" t="s">
        <v>18</v>
      </c>
      <c r="H77">
        <v>5</v>
      </c>
      <c r="I77">
        <v>1800</v>
      </c>
      <c r="J77" t="s">
        <v>54</v>
      </c>
      <c r="K77" t="s">
        <v>46</v>
      </c>
      <c r="L77" t="s">
        <v>47</v>
      </c>
      <c r="M77" t="s">
        <v>22</v>
      </c>
    </row>
    <row r="78" spans="1:13" x14ac:dyDescent="0.35">
      <c r="A78" t="s">
        <v>146</v>
      </c>
      <c r="B78" s="2">
        <v>46255</v>
      </c>
      <c r="C78" t="s">
        <v>62</v>
      </c>
      <c r="D78" t="s">
        <v>63</v>
      </c>
      <c r="E78" t="s">
        <v>51</v>
      </c>
      <c r="F78" t="s">
        <v>52</v>
      </c>
      <c r="G78" t="s">
        <v>53</v>
      </c>
      <c r="H78">
        <v>6</v>
      </c>
      <c r="I78">
        <v>3500</v>
      </c>
      <c r="J78" t="s">
        <v>54</v>
      </c>
      <c r="K78" t="s">
        <v>20</v>
      </c>
      <c r="L78" t="s">
        <v>21</v>
      </c>
      <c r="M78" t="s">
        <v>22</v>
      </c>
    </row>
    <row r="79" spans="1:13" x14ac:dyDescent="0.35">
      <c r="A79" t="s">
        <v>147</v>
      </c>
      <c r="B79" s="2">
        <v>46256</v>
      </c>
      <c r="C79" t="s">
        <v>67</v>
      </c>
      <c r="D79" t="s">
        <v>68</v>
      </c>
      <c r="E79" t="s">
        <v>59</v>
      </c>
      <c r="F79" t="s">
        <v>60</v>
      </c>
      <c r="G79" t="s">
        <v>36</v>
      </c>
      <c r="H79">
        <v>7</v>
      </c>
      <c r="I79">
        <v>3200</v>
      </c>
      <c r="J79" t="s">
        <v>37</v>
      </c>
      <c r="K79" t="s">
        <v>29</v>
      </c>
      <c r="L79" t="s">
        <v>30</v>
      </c>
      <c r="M79" t="s">
        <v>22</v>
      </c>
    </row>
    <row r="80" spans="1:13" x14ac:dyDescent="0.35">
      <c r="A80" t="s">
        <v>148</v>
      </c>
      <c r="B80" s="2">
        <v>46257</v>
      </c>
      <c r="C80" t="s">
        <v>72</v>
      </c>
      <c r="D80" t="s">
        <v>73</v>
      </c>
      <c r="E80" t="s">
        <v>64</v>
      </c>
      <c r="F80" t="s">
        <v>65</v>
      </c>
      <c r="G80" t="s">
        <v>28</v>
      </c>
      <c r="H80">
        <v>8</v>
      </c>
      <c r="I80">
        <v>1200</v>
      </c>
      <c r="J80" t="s">
        <v>45</v>
      </c>
      <c r="K80" t="s">
        <v>38</v>
      </c>
      <c r="L80" t="s">
        <v>39</v>
      </c>
      <c r="M80" t="s">
        <v>22</v>
      </c>
    </row>
    <row r="81" spans="1:13" x14ac:dyDescent="0.35">
      <c r="A81" t="s">
        <v>149</v>
      </c>
      <c r="B81" s="2">
        <v>46258</v>
      </c>
      <c r="C81" t="s">
        <v>75</v>
      </c>
      <c r="D81" t="s">
        <v>76</v>
      </c>
      <c r="E81" t="s">
        <v>69</v>
      </c>
      <c r="F81" t="s">
        <v>70</v>
      </c>
      <c r="G81" t="s">
        <v>36</v>
      </c>
      <c r="H81">
        <v>1</v>
      </c>
      <c r="I81">
        <v>14500</v>
      </c>
      <c r="J81" t="s">
        <v>19</v>
      </c>
      <c r="K81" t="s">
        <v>46</v>
      </c>
      <c r="L81" t="s">
        <v>47</v>
      </c>
      <c r="M81" t="s">
        <v>55</v>
      </c>
    </row>
    <row r="82" spans="1:13" x14ac:dyDescent="0.35">
      <c r="A82" t="s">
        <v>150</v>
      </c>
      <c r="B82" s="2">
        <v>46259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>
        <v>2</v>
      </c>
      <c r="I82">
        <v>2200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5">
      <c r="A83" t="s">
        <v>151</v>
      </c>
      <c r="B83" s="2">
        <v>46260</v>
      </c>
      <c r="C83" t="s">
        <v>24</v>
      </c>
      <c r="D83" t="s">
        <v>25</v>
      </c>
      <c r="E83" t="s">
        <v>26</v>
      </c>
      <c r="F83" t="s">
        <v>27</v>
      </c>
      <c r="G83" t="s">
        <v>28</v>
      </c>
      <c r="H83">
        <v>3</v>
      </c>
      <c r="I83">
        <v>500</v>
      </c>
      <c r="J83" t="s">
        <v>19</v>
      </c>
      <c r="K83" t="s">
        <v>29</v>
      </c>
      <c r="L83" t="s">
        <v>30</v>
      </c>
      <c r="M83" t="s">
        <v>22</v>
      </c>
    </row>
    <row r="84" spans="1:13" x14ac:dyDescent="0.35">
      <c r="A84" t="s">
        <v>152</v>
      </c>
      <c r="B84" s="2">
        <v>46261</v>
      </c>
      <c r="C84" t="s">
        <v>32</v>
      </c>
      <c r="D84" t="s">
        <v>33</v>
      </c>
      <c r="E84" t="s">
        <v>34</v>
      </c>
      <c r="F84" t="s">
        <v>35</v>
      </c>
      <c r="G84" t="s">
        <v>36</v>
      </c>
      <c r="H84">
        <v>4</v>
      </c>
      <c r="I84">
        <v>1800</v>
      </c>
      <c r="J84" t="s">
        <v>37</v>
      </c>
      <c r="K84" t="s">
        <v>38</v>
      </c>
      <c r="L84" t="s">
        <v>39</v>
      </c>
      <c r="M84" t="s">
        <v>22</v>
      </c>
    </row>
    <row r="85" spans="1:13" x14ac:dyDescent="0.35">
      <c r="A85" t="s">
        <v>153</v>
      </c>
      <c r="B85" s="2">
        <v>46262</v>
      </c>
      <c r="C85" t="s">
        <v>41</v>
      </c>
      <c r="D85" t="s">
        <v>42</v>
      </c>
      <c r="E85" t="s">
        <v>43</v>
      </c>
      <c r="F85" t="s">
        <v>44</v>
      </c>
      <c r="G85" t="s">
        <v>18</v>
      </c>
      <c r="H85">
        <v>5</v>
      </c>
      <c r="I85">
        <v>1800</v>
      </c>
      <c r="J85" t="s">
        <v>45</v>
      </c>
      <c r="K85" t="s">
        <v>46</v>
      </c>
      <c r="L85" t="s">
        <v>47</v>
      </c>
      <c r="M85" t="s">
        <v>22</v>
      </c>
    </row>
    <row r="86" spans="1:13" x14ac:dyDescent="0.35">
      <c r="A86" t="s">
        <v>154</v>
      </c>
      <c r="B86" s="2">
        <v>46235</v>
      </c>
      <c r="C86" t="s">
        <v>49</v>
      </c>
      <c r="D86" t="s">
        <v>50</v>
      </c>
      <c r="E86" t="s">
        <v>51</v>
      </c>
      <c r="F86" t="s">
        <v>52</v>
      </c>
      <c r="G86" t="s">
        <v>53</v>
      </c>
      <c r="H86">
        <v>6</v>
      </c>
      <c r="I86">
        <v>3500</v>
      </c>
      <c r="J86" t="s">
        <v>54</v>
      </c>
      <c r="K86" t="s">
        <v>20</v>
      </c>
      <c r="L86" t="s">
        <v>21</v>
      </c>
      <c r="M86" t="s">
        <v>55</v>
      </c>
    </row>
    <row r="87" spans="1:13" x14ac:dyDescent="0.35">
      <c r="A87" t="s">
        <v>155</v>
      </c>
      <c r="B87" s="2">
        <v>46236</v>
      </c>
      <c r="C87" t="s">
        <v>57</v>
      </c>
      <c r="D87" t="s">
        <v>58</v>
      </c>
      <c r="E87" t="s">
        <v>59</v>
      </c>
      <c r="F87" t="s">
        <v>60</v>
      </c>
      <c r="G87" t="s">
        <v>36</v>
      </c>
      <c r="H87">
        <v>7</v>
      </c>
      <c r="I87">
        <v>3200</v>
      </c>
      <c r="J87" t="s">
        <v>54</v>
      </c>
      <c r="K87" t="s">
        <v>29</v>
      </c>
      <c r="L87" t="s">
        <v>30</v>
      </c>
      <c r="M87" t="s">
        <v>22</v>
      </c>
    </row>
    <row r="88" spans="1:13" x14ac:dyDescent="0.35">
      <c r="A88" t="s">
        <v>156</v>
      </c>
      <c r="B88" s="2">
        <v>46237</v>
      </c>
      <c r="C88" t="s">
        <v>62</v>
      </c>
      <c r="D88" t="s">
        <v>63</v>
      </c>
      <c r="E88" t="s">
        <v>64</v>
      </c>
      <c r="F88" t="s">
        <v>65</v>
      </c>
      <c r="G88" t="s">
        <v>28</v>
      </c>
      <c r="H88">
        <v>8</v>
      </c>
      <c r="I88">
        <v>1200</v>
      </c>
      <c r="J88" t="s">
        <v>54</v>
      </c>
      <c r="K88" t="s">
        <v>38</v>
      </c>
      <c r="L88" t="s">
        <v>39</v>
      </c>
      <c r="M88" t="s">
        <v>22</v>
      </c>
    </row>
    <row r="89" spans="1:13" x14ac:dyDescent="0.35">
      <c r="A89" t="s">
        <v>157</v>
      </c>
      <c r="B89" s="2">
        <v>46238</v>
      </c>
      <c r="C89" t="s">
        <v>67</v>
      </c>
      <c r="D89" t="s">
        <v>68</v>
      </c>
      <c r="E89" t="s">
        <v>69</v>
      </c>
      <c r="F89" t="s">
        <v>70</v>
      </c>
      <c r="G89" t="s">
        <v>36</v>
      </c>
      <c r="H89">
        <v>1</v>
      </c>
      <c r="I89">
        <v>14500</v>
      </c>
      <c r="J89" t="s">
        <v>37</v>
      </c>
      <c r="K89" t="s">
        <v>46</v>
      </c>
      <c r="L89" t="s">
        <v>47</v>
      </c>
      <c r="M89" t="s">
        <v>22</v>
      </c>
    </row>
    <row r="90" spans="1:13" x14ac:dyDescent="0.35">
      <c r="A90" t="s">
        <v>158</v>
      </c>
      <c r="B90" s="2">
        <v>46239</v>
      </c>
      <c r="C90" t="s">
        <v>72</v>
      </c>
      <c r="D90" t="s">
        <v>73</v>
      </c>
      <c r="E90" t="s">
        <v>16</v>
      </c>
      <c r="F90" t="s">
        <v>17</v>
      </c>
      <c r="G90" t="s">
        <v>18</v>
      </c>
      <c r="H90">
        <v>2</v>
      </c>
      <c r="I90">
        <v>2200</v>
      </c>
      <c r="J90" t="s">
        <v>45</v>
      </c>
      <c r="K90" t="s">
        <v>20</v>
      </c>
      <c r="L90" t="s">
        <v>21</v>
      </c>
      <c r="M90" t="s">
        <v>22</v>
      </c>
    </row>
    <row r="91" spans="1:13" x14ac:dyDescent="0.35">
      <c r="A91" t="s">
        <v>159</v>
      </c>
      <c r="B91" s="2">
        <v>46240</v>
      </c>
      <c r="C91" t="s">
        <v>75</v>
      </c>
      <c r="D91" t="s">
        <v>76</v>
      </c>
      <c r="E91" t="s">
        <v>26</v>
      </c>
      <c r="F91" t="s">
        <v>27</v>
      </c>
      <c r="G91" t="s">
        <v>28</v>
      </c>
      <c r="H91">
        <v>3</v>
      </c>
      <c r="I91">
        <v>500</v>
      </c>
      <c r="J91" t="s">
        <v>19</v>
      </c>
      <c r="K91" t="s">
        <v>29</v>
      </c>
      <c r="L91" t="s">
        <v>30</v>
      </c>
      <c r="M91" t="s">
        <v>55</v>
      </c>
    </row>
    <row r="92" spans="1:13" x14ac:dyDescent="0.35">
      <c r="A92" t="s">
        <v>159</v>
      </c>
      <c r="B92" s="2">
        <v>46240</v>
      </c>
      <c r="C92" t="s">
        <v>75</v>
      </c>
      <c r="D92" t="s">
        <v>76</v>
      </c>
      <c r="E92" t="s">
        <v>26</v>
      </c>
      <c r="F92" t="s">
        <v>27</v>
      </c>
      <c r="G92" t="s">
        <v>28</v>
      </c>
      <c r="H92">
        <v>3</v>
      </c>
      <c r="I92">
        <v>500</v>
      </c>
      <c r="J92" t="s">
        <v>19</v>
      </c>
      <c r="K92" t="s">
        <v>29</v>
      </c>
      <c r="L92" t="s">
        <v>30</v>
      </c>
      <c r="M92" t="s">
        <v>55</v>
      </c>
    </row>
    <row r="93" spans="1:13" x14ac:dyDescent="0.35">
      <c r="A93" t="s">
        <v>160</v>
      </c>
      <c r="B93" s="2">
        <v>46242</v>
      </c>
      <c r="C93" t="s">
        <v>24</v>
      </c>
      <c r="D93" t="s">
        <v>25</v>
      </c>
      <c r="E93" t="s">
        <v>43</v>
      </c>
      <c r="F93" t="s">
        <v>44</v>
      </c>
      <c r="G93" t="s">
        <v>18</v>
      </c>
      <c r="H93">
        <v>5</v>
      </c>
      <c r="I93">
        <v>1800</v>
      </c>
      <c r="J93" t="s">
        <v>19</v>
      </c>
      <c r="K93" t="s">
        <v>46</v>
      </c>
      <c r="L93" t="s">
        <v>47</v>
      </c>
      <c r="M93" t="s">
        <v>22</v>
      </c>
    </row>
    <row r="94" spans="1:13" x14ac:dyDescent="0.35">
      <c r="A94" t="s">
        <v>161</v>
      </c>
      <c r="B94" s="2">
        <v>46243</v>
      </c>
      <c r="C94" t="s">
        <v>32</v>
      </c>
      <c r="D94" t="s">
        <v>33</v>
      </c>
      <c r="E94" t="s">
        <v>51</v>
      </c>
      <c r="F94" t="s">
        <v>52</v>
      </c>
      <c r="G94" t="s">
        <v>53</v>
      </c>
      <c r="H94">
        <v>6</v>
      </c>
      <c r="I94">
        <v>3500</v>
      </c>
      <c r="J94" t="s">
        <v>37</v>
      </c>
      <c r="K94" t="s">
        <v>20</v>
      </c>
      <c r="L94" t="s">
        <v>21</v>
      </c>
      <c r="M94" t="s">
        <v>22</v>
      </c>
    </row>
    <row r="95" spans="1:13" x14ac:dyDescent="0.35">
      <c r="A95" t="s">
        <v>162</v>
      </c>
      <c r="B95" s="2">
        <v>46244</v>
      </c>
      <c r="C95" t="s">
        <v>41</v>
      </c>
      <c r="D95" t="s">
        <v>42</v>
      </c>
      <c r="E95" t="s">
        <v>59</v>
      </c>
      <c r="F95" t="s">
        <v>60</v>
      </c>
      <c r="G95" t="s">
        <v>36</v>
      </c>
      <c r="H95">
        <v>7</v>
      </c>
      <c r="I95">
        <v>3200</v>
      </c>
      <c r="J95" t="s">
        <v>45</v>
      </c>
      <c r="K95" t="s">
        <v>29</v>
      </c>
      <c r="L95" t="s">
        <v>30</v>
      </c>
      <c r="M95" t="s">
        <v>22</v>
      </c>
    </row>
    <row r="96" spans="1:13" x14ac:dyDescent="0.35">
      <c r="A96" t="s">
        <v>163</v>
      </c>
      <c r="B96" s="2">
        <v>46245</v>
      </c>
      <c r="C96" t="s">
        <v>49</v>
      </c>
      <c r="D96" t="s">
        <v>50</v>
      </c>
      <c r="E96" t="s">
        <v>64</v>
      </c>
      <c r="F96" t="s">
        <v>65</v>
      </c>
      <c r="G96" t="s">
        <v>28</v>
      </c>
      <c r="H96">
        <v>8</v>
      </c>
      <c r="I96">
        <v>1200</v>
      </c>
      <c r="J96" t="s">
        <v>54</v>
      </c>
      <c r="K96" t="s">
        <v>38</v>
      </c>
      <c r="L96" t="s">
        <v>39</v>
      </c>
      <c r="M96" t="s">
        <v>55</v>
      </c>
    </row>
    <row r="97" spans="1:13" x14ac:dyDescent="0.35">
      <c r="A97" t="s">
        <v>164</v>
      </c>
      <c r="B97" s="2">
        <v>46246</v>
      </c>
      <c r="C97" t="s">
        <v>57</v>
      </c>
      <c r="D97" t="s">
        <v>58</v>
      </c>
      <c r="E97" t="s">
        <v>69</v>
      </c>
      <c r="F97" t="s">
        <v>70</v>
      </c>
      <c r="G97" t="s">
        <v>36</v>
      </c>
      <c r="H97">
        <v>1</v>
      </c>
      <c r="I97">
        <v>14500</v>
      </c>
      <c r="J97" t="s">
        <v>54</v>
      </c>
      <c r="K97" t="s">
        <v>46</v>
      </c>
      <c r="L97" t="s">
        <v>47</v>
      </c>
      <c r="M97" t="s">
        <v>22</v>
      </c>
    </row>
    <row r="98" spans="1:13" x14ac:dyDescent="0.35">
      <c r="A98" t="s">
        <v>165</v>
      </c>
      <c r="B98" s="2">
        <v>46247</v>
      </c>
      <c r="C98" t="s">
        <v>62</v>
      </c>
      <c r="D98" t="s">
        <v>63</v>
      </c>
      <c r="E98" t="s">
        <v>16</v>
      </c>
      <c r="F98" t="s">
        <v>17</v>
      </c>
      <c r="G98" t="s">
        <v>18</v>
      </c>
      <c r="H98">
        <v>2</v>
      </c>
      <c r="I98">
        <v>2200</v>
      </c>
      <c r="J98" t="s">
        <v>54</v>
      </c>
      <c r="K98" t="s">
        <v>20</v>
      </c>
      <c r="L98" t="s">
        <v>21</v>
      </c>
      <c r="M98" t="s">
        <v>22</v>
      </c>
    </row>
    <row r="99" spans="1:13" x14ac:dyDescent="0.35">
      <c r="A99" t="s">
        <v>166</v>
      </c>
      <c r="B99" s="2">
        <v>46248</v>
      </c>
      <c r="C99" t="s">
        <v>67</v>
      </c>
      <c r="D99" t="s">
        <v>68</v>
      </c>
      <c r="E99" t="s">
        <v>26</v>
      </c>
      <c r="F99" t="s">
        <v>27</v>
      </c>
      <c r="G99" t="s">
        <v>28</v>
      </c>
      <c r="H99">
        <v>3</v>
      </c>
      <c r="I99">
        <v>500</v>
      </c>
      <c r="J99" t="s">
        <v>37</v>
      </c>
      <c r="K99" t="s">
        <v>29</v>
      </c>
      <c r="L99" t="s">
        <v>30</v>
      </c>
      <c r="M99" t="s">
        <v>22</v>
      </c>
    </row>
    <row r="100" spans="1:13" x14ac:dyDescent="0.35">
      <c r="A100" t="s">
        <v>167</v>
      </c>
      <c r="B100" s="2">
        <v>46249</v>
      </c>
      <c r="C100" t="s">
        <v>72</v>
      </c>
      <c r="D100" t="s">
        <v>73</v>
      </c>
      <c r="E100" t="s">
        <v>34</v>
      </c>
      <c r="F100" t="s">
        <v>35</v>
      </c>
      <c r="G100" t="s">
        <v>36</v>
      </c>
      <c r="H100">
        <v>4</v>
      </c>
      <c r="I100">
        <v>1800</v>
      </c>
      <c r="J100" t="s">
        <v>45</v>
      </c>
      <c r="K100" t="s">
        <v>38</v>
      </c>
      <c r="L100" t="s">
        <v>39</v>
      </c>
      <c r="M100" t="s">
        <v>22</v>
      </c>
    </row>
    <row r="101" spans="1:13" x14ac:dyDescent="0.35">
      <c r="A101" t="s">
        <v>168</v>
      </c>
      <c r="B101" s="2">
        <v>46250</v>
      </c>
      <c r="C101" t="s">
        <v>75</v>
      </c>
      <c r="D101" t="s">
        <v>76</v>
      </c>
      <c r="E101" t="s">
        <v>43</v>
      </c>
      <c r="F101" t="s">
        <v>44</v>
      </c>
      <c r="G101" t="s">
        <v>18</v>
      </c>
      <c r="H101">
        <v>5</v>
      </c>
      <c r="I101">
        <v>1800</v>
      </c>
      <c r="J101" t="s">
        <v>19</v>
      </c>
      <c r="K101" t="s">
        <v>46</v>
      </c>
      <c r="L101" t="s">
        <v>47</v>
      </c>
      <c r="M10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37D5-3761-4BD4-A1CE-175E4BC6EDAF}">
  <dimension ref="A1:P190"/>
  <sheetViews>
    <sheetView tabSelected="1" topLeftCell="M1" workbookViewId="0">
      <selection activeCell="Q1" sqref="Q1"/>
    </sheetView>
  </sheetViews>
  <sheetFormatPr defaultRowHeight="14.5" x14ac:dyDescent="0.35"/>
  <cols>
    <col min="1" max="1" width="17.81640625" customWidth="1"/>
    <col min="2" max="2" width="17.81640625" style="3" bestFit="1" customWidth="1"/>
    <col min="3" max="3" width="12.453125" customWidth="1"/>
    <col min="4" max="4" width="21.7265625" customWidth="1"/>
    <col min="5" max="5" width="16.6328125" customWidth="1"/>
    <col min="6" max="6" width="21.90625" customWidth="1"/>
    <col min="7" max="7" width="21.26953125" customWidth="1"/>
    <col min="8" max="8" width="21.36328125" customWidth="1"/>
    <col min="9" max="9" width="20.26953125" customWidth="1"/>
    <col min="10" max="10" width="18.453125" customWidth="1"/>
    <col min="11" max="11" width="15.54296875" bestFit="1" customWidth="1"/>
    <col min="12" max="12" width="21.7265625" customWidth="1"/>
    <col min="13" max="13" width="18.453125" customWidth="1"/>
    <col min="14" max="14" width="17.81640625" customWidth="1"/>
    <col min="15" max="15" width="23.6328125" customWidth="1"/>
    <col min="16" max="16" width="23.1796875" customWidth="1"/>
  </cols>
  <sheetData>
    <row r="1" spans="1:16" s="5" customFormat="1" ht="21" x14ac:dyDescent="0.5">
      <c r="A1" s="5" t="str">
        <f>PROPER(TRIM('Raw Data'!A1))</f>
        <v>Transaction Id</v>
      </c>
      <c r="B1" s="4" t="s">
        <v>1</v>
      </c>
      <c r="C1" s="5" t="str">
        <f>TRIM('Raw Data'!C1)</f>
        <v>Customer ID</v>
      </c>
      <c r="D1" s="5" t="str">
        <f>TRIM('Raw Data'!D1)</f>
        <v>Customer Name</v>
      </c>
      <c r="E1" s="5" t="str">
        <f>TRIM('Raw Data'!E1)</f>
        <v>Product ID</v>
      </c>
      <c r="F1" s="5" t="str">
        <f>TRIM('Raw Data'!F1)</f>
        <v>Product</v>
      </c>
      <c r="G1" s="5" t="str">
        <f>TRIM('Raw Data'!G1)</f>
        <v>Category</v>
      </c>
      <c r="H1" s="5" t="str">
        <f>TRIM('Raw Data'!H1)</f>
        <v>Quantity</v>
      </c>
      <c r="I1" s="5" t="str">
        <f>TRIM('Raw Data'!I1)</f>
        <v>Unit Price (₦)</v>
      </c>
      <c r="J1" s="5" t="str">
        <f>TRIM('Raw Data'!J1)</f>
        <v>Region</v>
      </c>
      <c r="K1" s="5" t="str">
        <f>TRIM('Raw Data'!K1)</f>
        <v>Salesperson</v>
      </c>
      <c r="L1" s="5" t="str">
        <f>TRIM('Raw Data'!L1)</f>
        <v>Payment Method</v>
      </c>
      <c r="M1" s="5" t="str">
        <f>TRIM('Raw Data'!M1)</f>
        <v>Payment Status</v>
      </c>
      <c r="N1" s="5" t="s">
        <v>173</v>
      </c>
      <c r="O1" s="5" t="s">
        <v>174</v>
      </c>
      <c r="P1" s="5" t="s">
        <v>175</v>
      </c>
    </row>
    <row r="2" spans="1:16" ht="21" x14ac:dyDescent="0.5">
      <c r="A2" t="str">
        <f>PROPER(TRIM('Raw Data'!A2))</f>
        <v>Txn001</v>
      </c>
      <c r="B2" s="3">
        <v>46235</v>
      </c>
      <c r="C2" t="str">
        <f>TRIM('Raw Data'!C2)</f>
        <v>C008</v>
      </c>
      <c r="D2" t="str">
        <f>PROPER(TRIM('Raw Data'!D2))</f>
        <v>Joseph Adebayo</v>
      </c>
      <c r="E2" t="str">
        <f>TRIM('Raw Data'!E2)</f>
        <v>P004</v>
      </c>
      <c r="F2" t="str">
        <f>PROPER(TRIM('Raw Data'!F2))</f>
        <v>Sliced Bread</v>
      </c>
      <c r="G2" t="str">
        <f>PROPER(TRIM('Raw Data'!G2))</f>
        <v>Bakery</v>
      </c>
      <c r="H2" s="5" t="str">
        <f>TRIM('Raw Data'!H2)</f>
        <v>2</v>
      </c>
      <c r="I2">
        <f>VALUE('Raw Data'!I2)</f>
        <v>2200</v>
      </c>
      <c r="J2" t="str">
        <f>PROPER(TRIM('Raw Data'!J2))</f>
        <v>Lagos</v>
      </c>
      <c r="K2" t="str">
        <f>PROPER(TRIM('Raw Data'!K2))</f>
        <v>Chinedu</v>
      </c>
      <c r="L2" t="str">
        <f>UPPER(TRIM('Raw Data'!L2))</f>
        <v>CARD</v>
      </c>
      <c r="M2" t="str">
        <f>PROPER(TRIM('Raw Data'!M2))</f>
        <v>Paid</v>
      </c>
      <c r="N2">
        <f>YEAR(B2)</f>
        <v>2026</v>
      </c>
    </row>
    <row r="3" spans="1:16" ht="21" x14ac:dyDescent="0.5">
      <c r="A3" t="str">
        <f>PROPER(TRIM('Raw Data'!A3))</f>
        <v>Txn002</v>
      </c>
      <c r="B3" s="3">
        <v>46236</v>
      </c>
      <c r="C3" t="str">
        <f>TRIM('Raw Data'!C3)</f>
        <v>C005</v>
      </c>
      <c r="D3" t="str">
        <f>PROPER(TRIM('Raw Data'!D3))</f>
        <v>Esther Johnson</v>
      </c>
      <c r="E3" t="str">
        <f>TRIM('Raw Data'!E3)</f>
        <v>P007</v>
      </c>
      <c r="F3" t="str">
        <f>PROPER(TRIM('Raw Data'!F3))</f>
        <v>Bottled Water</v>
      </c>
      <c r="G3" t="str">
        <f>PROPER(TRIM('Raw Data'!G3))</f>
        <v>Beverages</v>
      </c>
      <c r="H3" s="5" t="str">
        <f>TRIM('Raw Data'!H3)</f>
        <v>3</v>
      </c>
      <c r="I3">
        <f>VALUE('Raw Data'!I3)</f>
        <v>500</v>
      </c>
      <c r="J3" t="str">
        <f>PROPER(TRIM('Raw Data'!J3))</f>
        <v>Lagos</v>
      </c>
      <c r="K3" t="str">
        <f>PROPER(TRIM('Raw Data'!K3))</f>
        <v>Kemi</v>
      </c>
      <c r="L3" t="str">
        <f>UPPER(TRIM('Raw Data'!L3))</f>
        <v>TRANSFER</v>
      </c>
      <c r="M3" t="str">
        <f>PROPER(TRIM('Raw Data'!M3))</f>
        <v>Paid</v>
      </c>
    </row>
    <row r="4" spans="1:16" ht="21" x14ac:dyDescent="0.5">
      <c r="A4" t="str">
        <f>PROPER(TRIM('Raw Data'!A4))</f>
        <v>Txn003</v>
      </c>
      <c r="B4" s="3">
        <v>46237</v>
      </c>
      <c r="C4" t="str">
        <f>TRIM('Raw Data'!C4)</f>
        <v>C002</v>
      </c>
      <c r="D4" t="str">
        <f>PROPER(TRIM('Raw Data'!D4))</f>
        <v>Daniel Okafor</v>
      </c>
      <c r="E4" t="str">
        <f>TRIM('Raw Data'!E4)</f>
        <v>P002</v>
      </c>
      <c r="F4" t="str">
        <f>PROPER(TRIM('Raw Data'!F4))</f>
        <v>Spaghetti</v>
      </c>
      <c r="G4" t="str">
        <f>PROPER(TRIM('Raw Data'!G4))</f>
        <v>Groceries</v>
      </c>
      <c r="H4" s="5" t="str">
        <f>TRIM('Raw Data'!H4)</f>
        <v>4</v>
      </c>
      <c r="I4">
        <f>VALUE('Raw Data'!I4)</f>
        <v>1800</v>
      </c>
      <c r="J4" t="str">
        <f>PROPER(TRIM('Raw Data'!J4))</f>
        <v>Ibadan</v>
      </c>
      <c r="K4" t="str">
        <f>PROPER(TRIM('Raw Data'!K4))</f>
        <v>Tolu</v>
      </c>
      <c r="L4" t="str">
        <f>UPPER(TRIM('Raw Data'!L4))</f>
        <v>POS</v>
      </c>
      <c r="M4" t="str">
        <f>PROPER(TRIM('Raw Data'!M4))</f>
        <v>Paid</v>
      </c>
    </row>
    <row r="5" spans="1:16" ht="21" x14ac:dyDescent="0.5">
      <c r="A5" t="str">
        <f>PROPER(TRIM('Raw Data'!A5))</f>
        <v>Txn004</v>
      </c>
      <c r="B5" s="3">
        <v>46238</v>
      </c>
      <c r="C5" t="str">
        <f>TRIM('Raw Data'!C5)</f>
        <v>C009</v>
      </c>
      <c r="D5" t="str">
        <f>PROPER(TRIM('Raw Data'!D5))</f>
        <v>Deborah Obi</v>
      </c>
      <c r="E5" t="str">
        <f>TRIM('Raw Data'!E5)</f>
        <v>P005</v>
      </c>
      <c r="F5" t="str">
        <f>PROPER(TRIM('Raw Data'!F5))</f>
        <v>Meat Pie</v>
      </c>
      <c r="G5" t="str">
        <f>PROPER(TRIM('Raw Data'!G5))</f>
        <v>Bakery</v>
      </c>
      <c r="H5" s="5" t="str">
        <f>TRIM('Raw Data'!H5)</f>
        <v>5</v>
      </c>
      <c r="I5">
        <f>VALUE('Raw Data'!I5)</f>
        <v>1800</v>
      </c>
      <c r="J5" t="str">
        <f>PROPER(TRIM('Raw Data'!J5))</f>
        <v>Enugu</v>
      </c>
      <c r="K5" t="str">
        <f>PROPER(TRIM('Raw Data'!K5))</f>
        <v>Amaka</v>
      </c>
      <c r="L5" t="str">
        <f>UPPER(TRIM('Raw Data'!L5))</f>
        <v>CASH</v>
      </c>
      <c r="M5" t="str">
        <f>PROPER(TRIM('Raw Data'!M5))</f>
        <v>Paid</v>
      </c>
    </row>
    <row r="6" spans="1:16" ht="21" x14ac:dyDescent="0.5">
      <c r="A6" t="str">
        <f>PROPER(TRIM('Raw Data'!A6))</f>
        <v>Txn005</v>
      </c>
      <c r="B6" s="3">
        <v>46239</v>
      </c>
      <c r="C6" t="str">
        <f>TRIM('Raw Data'!C6)</f>
        <v>C006</v>
      </c>
      <c r="D6" t="str">
        <f>PROPER(TRIM('Raw Data'!D6))</f>
        <v>David Yusuf</v>
      </c>
      <c r="E6" t="str">
        <f>TRIM('Raw Data'!E6)</f>
        <v>P008</v>
      </c>
      <c r="F6" t="str">
        <f>PROPER(TRIM('Raw Data'!F6))</f>
        <v>Liquid Soap</v>
      </c>
      <c r="G6" t="str">
        <f>PROPER(TRIM('Raw Data'!G6))</f>
        <v>Household</v>
      </c>
      <c r="H6" s="5" t="str">
        <f>TRIM('Raw Data'!H6)</f>
        <v>6</v>
      </c>
      <c r="I6">
        <f>VALUE('Raw Data'!I6)</f>
        <v>3500</v>
      </c>
      <c r="J6" t="str">
        <f>PROPER(TRIM('Raw Data'!J6))</f>
        <v>Abuja</v>
      </c>
      <c r="K6" t="str">
        <f>PROPER(TRIM('Raw Data'!K6))</f>
        <v>Chinedu</v>
      </c>
      <c r="L6" t="str">
        <f>UPPER(TRIM('Raw Data'!L6))</f>
        <v>CARD</v>
      </c>
      <c r="M6" t="str">
        <f>PROPER(TRIM('Raw Data'!M6))</f>
        <v>Pending</v>
      </c>
    </row>
    <row r="7" spans="1:16" ht="21" x14ac:dyDescent="0.5">
      <c r="A7" t="str">
        <f>PROPER(TRIM('Raw Data'!A7))</f>
        <v>Txn006</v>
      </c>
      <c r="B7" s="3">
        <v>46240</v>
      </c>
      <c r="C7" t="str">
        <f>TRIM('Raw Data'!C7)</f>
        <v>C003</v>
      </c>
      <c r="D7" t="str">
        <f>PROPER(TRIM('Raw Data'!D7))</f>
        <v>Grace Adeyemi</v>
      </c>
      <c r="E7" t="str">
        <f>TRIM('Raw Data'!E7)</f>
        <v>P003</v>
      </c>
      <c r="F7" t="str">
        <f>PROPER(TRIM('Raw Data'!F7))</f>
        <v>Peak Milk</v>
      </c>
      <c r="G7" t="str">
        <f>PROPER(TRIM('Raw Data'!G7))</f>
        <v>Groceries</v>
      </c>
      <c r="H7" s="5" t="str">
        <f>TRIM('Raw Data'!H7)</f>
        <v>7</v>
      </c>
      <c r="I7">
        <f>VALUE('Raw Data'!I7)</f>
        <v>3200</v>
      </c>
      <c r="J7" t="str">
        <f>PROPER(TRIM('Raw Data'!J7))</f>
        <v>Abuja</v>
      </c>
      <c r="K7" t="str">
        <f>PROPER(TRIM('Raw Data'!K7))</f>
        <v>Kemi</v>
      </c>
      <c r="L7" t="str">
        <f>UPPER(TRIM('Raw Data'!L7))</f>
        <v>TRANSFER</v>
      </c>
      <c r="M7" t="str">
        <f>PROPER(TRIM('Raw Data'!M7))</f>
        <v>Paid</v>
      </c>
    </row>
    <row r="8" spans="1:16" ht="21" x14ac:dyDescent="0.5">
      <c r="A8" t="str">
        <f>PROPER(TRIM('Raw Data'!A8))</f>
        <v>Txn007</v>
      </c>
      <c r="B8" s="3">
        <v>46241</v>
      </c>
      <c r="C8" t="str">
        <f>TRIM('Raw Data'!C8)</f>
        <v>C010</v>
      </c>
      <c r="D8" t="str">
        <f>PROPER(TRIM('Raw Data'!D8))</f>
        <v>Peter James</v>
      </c>
      <c r="E8" t="str">
        <f>TRIM('Raw Data'!E8)</f>
        <v>P006</v>
      </c>
      <c r="F8" t="str">
        <f>PROPER(TRIM('Raw Data'!F8))</f>
        <v>Malt Drink</v>
      </c>
      <c r="G8" t="str">
        <f>PROPER(TRIM('Raw Data'!G8))</f>
        <v>Beverages</v>
      </c>
      <c r="H8" s="5" t="str">
        <f>TRIM('Raw Data'!H8)</f>
        <v>8</v>
      </c>
      <c r="I8">
        <f>VALUE('Raw Data'!I8)</f>
        <v>1200</v>
      </c>
      <c r="J8" t="str">
        <f>PROPER(TRIM('Raw Data'!J8))</f>
        <v>Abuja</v>
      </c>
      <c r="K8" t="str">
        <f>PROPER(TRIM('Raw Data'!K8))</f>
        <v>Tolu</v>
      </c>
      <c r="L8" t="str">
        <f>UPPER(TRIM('Raw Data'!L8))</f>
        <v>POS</v>
      </c>
      <c r="M8" t="str">
        <f>PROPER(TRIM('Raw Data'!M8))</f>
        <v>Paid</v>
      </c>
    </row>
    <row r="9" spans="1:16" ht="21" x14ac:dyDescent="0.5">
      <c r="A9" t="str">
        <f>PROPER(TRIM('Raw Data'!A9))</f>
        <v>Txn008</v>
      </c>
      <c r="B9" s="3">
        <v>46242</v>
      </c>
      <c r="C9" t="str">
        <f>TRIM('Raw Data'!C9)</f>
        <v>C007</v>
      </c>
      <c r="D9" t="str">
        <f>PROPER(TRIM('Raw Data'!D9))</f>
        <v>Miriam Balogun</v>
      </c>
      <c r="E9" t="str">
        <f>TRIM('Raw Data'!E9)</f>
        <v>P001</v>
      </c>
      <c r="F9" t="str">
        <f>PROPER(TRIM('Raw Data'!F9))</f>
        <v>Premium Rice 5Kg</v>
      </c>
      <c r="G9" t="str">
        <f>PROPER(TRIM('Raw Data'!G9))</f>
        <v>Groceries</v>
      </c>
      <c r="H9" s="5" t="str">
        <f>TRIM('Raw Data'!H9)</f>
        <v>1</v>
      </c>
      <c r="I9">
        <f>VALUE('Raw Data'!I9)</f>
        <v>14500</v>
      </c>
      <c r="J9" t="str">
        <f>PROPER(TRIM('Raw Data'!J9))</f>
        <v>Ibadan</v>
      </c>
      <c r="K9" t="str">
        <f>PROPER(TRIM('Raw Data'!K9))</f>
        <v>Amaka</v>
      </c>
      <c r="L9" t="str">
        <f>UPPER(TRIM('Raw Data'!L9))</f>
        <v>CASH</v>
      </c>
      <c r="M9" t="str">
        <f>PROPER(TRIM('Raw Data'!M9))</f>
        <v>Paid</v>
      </c>
    </row>
    <row r="10" spans="1:16" ht="21" x14ac:dyDescent="0.5">
      <c r="A10" t="str">
        <f>PROPER(TRIM('Raw Data'!A10))</f>
        <v>Txn009</v>
      </c>
      <c r="B10" s="3">
        <v>46243</v>
      </c>
      <c r="C10" t="str">
        <f>TRIM('Raw Data'!C10)</f>
        <v>C004</v>
      </c>
      <c r="D10" t="str">
        <f>PROPER(TRIM('Raw Data'!D10))</f>
        <v>Samuel Eze</v>
      </c>
      <c r="E10" t="str">
        <f>TRIM('Raw Data'!E10)</f>
        <v>P004</v>
      </c>
      <c r="F10" t="str">
        <f>PROPER(TRIM('Raw Data'!F10))</f>
        <v>Sliced Bread</v>
      </c>
      <c r="G10" t="str">
        <f>PROPER(TRIM('Raw Data'!G10))</f>
        <v>Bakery</v>
      </c>
      <c r="H10" s="5" t="str">
        <f>TRIM('Raw Data'!H10)</f>
        <v>2</v>
      </c>
      <c r="I10">
        <f>VALUE('Raw Data'!I10)</f>
        <v>2200</v>
      </c>
      <c r="J10" t="str">
        <f>PROPER(TRIM('Raw Data'!J10))</f>
        <v>Enugu</v>
      </c>
      <c r="K10" t="str">
        <f>PROPER(TRIM('Raw Data'!K10))</f>
        <v>Chinedu</v>
      </c>
      <c r="L10" t="str">
        <f>UPPER(TRIM('Raw Data'!L10))</f>
        <v>CARD</v>
      </c>
      <c r="M10" t="str">
        <f>PROPER(TRIM('Raw Data'!M10))</f>
        <v>Paid</v>
      </c>
    </row>
    <row r="11" spans="1:16" ht="21" x14ac:dyDescent="0.5">
      <c r="A11" t="str">
        <f>PROPER(TRIM('Raw Data'!A11))</f>
        <v>Txn010</v>
      </c>
      <c r="B11" s="3">
        <v>46244</v>
      </c>
      <c r="C11" t="str">
        <f>TRIM('Raw Data'!C11)</f>
        <v>C001</v>
      </c>
      <c r="D11" t="str">
        <f>PROPER(TRIM('Raw Data'!D11))</f>
        <v>Aisha Bello</v>
      </c>
      <c r="E11" t="str">
        <f>TRIM('Raw Data'!E11)</f>
        <v>P007</v>
      </c>
      <c r="F11" t="str">
        <f>PROPER(TRIM('Raw Data'!F11))</f>
        <v>Bottled Water</v>
      </c>
      <c r="G11" t="str">
        <f>PROPER(TRIM('Raw Data'!G11))</f>
        <v>Beverages</v>
      </c>
      <c r="H11" s="5" t="str">
        <f>TRIM('Raw Data'!H11)</f>
        <v>3</v>
      </c>
      <c r="I11">
        <f>VALUE('Raw Data'!I11)</f>
        <v>500</v>
      </c>
      <c r="J11" t="str">
        <f>PROPER(TRIM('Raw Data'!J11))</f>
        <v>Lagos</v>
      </c>
      <c r="K11" t="str">
        <f>PROPER(TRIM('Raw Data'!K11))</f>
        <v>Kemi</v>
      </c>
      <c r="L11" t="str">
        <f>UPPER(TRIM('Raw Data'!L11))</f>
        <v>TRANSFER</v>
      </c>
      <c r="M11" t="str">
        <f>PROPER(TRIM('Raw Data'!M11))</f>
        <v>Pending</v>
      </c>
    </row>
    <row r="12" spans="1:16" ht="21" x14ac:dyDescent="0.5">
      <c r="A12" t="str">
        <f>PROPER(TRIM('Raw Data'!A12))</f>
        <v>Txn011</v>
      </c>
      <c r="B12" s="3">
        <v>46245</v>
      </c>
      <c r="C12" t="str">
        <f>TRIM('Raw Data'!C12)</f>
        <v>C008</v>
      </c>
      <c r="D12" t="str">
        <f>PROPER(TRIM('Raw Data'!D12))</f>
        <v>Joseph Adebayo</v>
      </c>
      <c r="E12" t="str">
        <f>TRIM('Raw Data'!E12)</f>
        <v>P002</v>
      </c>
      <c r="F12" t="str">
        <f>PROPER(TRIM('Raw Data'!F12))</f>
        <v>Spaghetti</v>
      </c>
      <c r="G12" t="str">
        <f>PROPER(TRIM('Raw Data'!G12))</f>
        <v>Groceries</v>
      </c>
      <c r="H12" s="5" t="str">
        <f>TRIM('Raw Data'!H12)</f>
        <v>4</v>
      </c>
      <c r="I12">
        <f>VALUE('Raw Data'!I12)</f>
        <v>1800</v>
      </c>
      <c r="J12" t="str">
        <f>PROPER(TRIM('Raw Data'!J12))</f>
        <v>Lagos</v>
      </c>
      <c r="K12" t="str">
        <f>PROPER(TRIM('Raw Data'!K12))</f>
        <v>Tolu</v>
      </c>
      <c r="L12" t="str">
        <f>UPPER(TRIM('Raw Data'!L12))</f>
        <v>POS</v>
      </c>
      <c r="M12" t="str">
        <f>PROPER(TRIM('Raw Data'!M12))</f>
        <v>Paid</v>
      </c>
    </row>
    <row r="13" spans="1:16" ht="21" x14ac:dyDescent="0.5">
      <c r="A13" t="str">
        <f>PROPER(TRIM('Raw Data'!A13))</f>
        <v>Txn012</v>
      </c>
      <c r="B13" s="3">
        <v>46246</v>
      </c>
      <c r="C13" t="str">
        <f>TRIM('Raw Data'!C13)</f>
        <v>C005</v>
      </c>
      <c r="D13" t="str">
        <f>PROPER(TRIM('Raw Data'!D13))</f>
        <v>Aisha Bello</v>
      </c>
      <c r="E13" t="str">
        <f>TRIM('Raw Data'!E13)</f>
        <v>P005</v>
      </c>
      <c r="F13" t="str">
        <f>PROPER(TRIM('Raw Data'!F13))</f>
        <v>Meat Pie</v>
      </c>
      <c r="G13" t="str">
        <f>PROPER(TRIM('Raw Data'!G13))</f>
        <v>Bakery</v>
      </c>
      <c r="H13" s="5" t="str">
        <f>TRIM('Raw Data'!H13)</f>
        <v>5</v>
      </c>
      <c r="I13">
        <f>VALUE('Raw Data'!I13)</f>
        <v>1800</v>
      </c>
      <c r="J13" t="str">
        <f>PROPER(TRIM('Raw Data'!J13))</f>
        <v>Lagos</v>
      </c>
      <c r="K13" t="str">
        <f>PROPER(TRIM('Raw Data'!K13))</f>
        <v>Amaka</v>
      </c>
      <c r="L13" t="str">
        <f>UPPER(TRIM('Raw Data'!L13))</f>
        <v>CASH</v>
      </c>
      <c r="M13" t="str">
        <f>PROPER(TRIM('Raw Data'!M13))</f>
        <v>Paid</v>
      </c>
    </row>
    <row r="14" spans="1:16" ht="21" x14ac:dyDescent="0.5">
      <c r="A14" t="str">
        <f>PROPER(TRIM('Raw Data'!A14))</f>
        <v>Txn013</v>
      </c>
      <c r="B14" s="3">
        <v>46247</v>
      </c>
      <c r="C14" t="str">
        <f>TRIM('Raw Data'!C14)</f>
        <v>C002</v>
      </c>
      <c r="D14" t="str">
        <f>PROPER(TRIM('Raw Data'!D14))</f>
        <v>Daniel Okafor</v>
      </c>
      <c r="E14" t="str">
        <f>TRIM('Raw Data'!E14)</f>
        <v>P008</v>
      </c>
      <c r="F14" t="str">
        <f>PROPER(TRIM('Raw Data'!F14))</f>
        <v>Liquid Soap</v>
      </c>
      <c r="G14" t="str">
        <f>PROPER(TRIM('Raw Data'!G14))</f>
        <v>Household</v>
      </c>
      <c r="H14" s="5" t="str">
        <f>TRIM('Raw Data'!H14)</f>
        <v>6</v>
      </c>
      <c r="I14">
        <f>VALUE('Raw Data'!I14)</f>
        <v>3500</v>
      </c>
      <c r="J14" t="str">
        <f>PROPER(TRIM('Raw Data'!J14))</f>
        <v>Ibadan</v>
      </c>
      <c r="K14" t="str">
        <f>PROPER(TRIM('Raw Data'!K14))</f>
        <v>Chinedu</v>
      </c>
      <c r="L14" t="str">
        <f>UPPER(TRIM('Raw Data'!L14))</f>
        <v>CARD</v>
      </c>
      <c r="M14" t="str">
        <f>PROPER(TRIM('Raw Data'!M14))</f>
        <v>Paid</v>
      </c>
    </row>
    <row r="15" spans="1:16" ht="21" x14ac:dyDescent="0.5">
      <c r="A15" t="str">
        <f>PROPER(TRIM('Raw Data'!A15))</f>
        <v>Txn014</v>
      </c>
      <c r="B15" s="3">
        <v>46248</v>
      </c>
      <c r="C15" t="str">
        <f>TRIM('Raw Data'!C15)</f>
        <v>C009</v>
      </c>
      <c r="D15" t="str">
        <f>PROPER(TRIM('Raw Data'!D15))</f>
        <v>Deborah Obi</v>
      </c>
      <c r="E15" t="str">
        <f>TRIM('Raw Data'!E15)</f>
        <v>P003</v>
      </c>
      <c r="F15" t="str">
        <f>PROPER(TRIM('Raw Data'!F15))</f>
        <v>Peak Milk</v>
      </c>
      <c r="G15" t="str">
        <f>PROPER(TRIM('Raw Data'!G15))</f>
        <v>Groceries</v>
      </c>
      <c r="H15" s="5" t="str">
        <f>TRIM('Raw Data'!H15)</f>
        <v>7</v>
      </c>
      <c r="I15">
        <f>VALUE('Raw Data'!I15)</f>
        <v>3200</v>
      </c>
      <c r="J15" t="str">
        <f>PROPER(TRIM('Raw Data'!J15))</f>
        <v>Enugu</v>
      </c>
      <c r="K15" t="str">
        <f>PROPER(TRIM('Raw Data'!K15))</f>
        <v>Kemi</v>
      </c>
      <c r="L15" t="str">
        <f>UPPER(TRIM('Raw Data'!L15))</f>
        <v>TRANSFER</v>
      </c>
      <c r="M15" t="str">
        <f>PROPER(TRIM('Raw Data'!M15))</f>
        <v>Paid</v>
      </c>
    </row>
    <row r="16" spans="1:16" ht="21" x14ac:dyDescent="0.5">
      <c r="A16" t="str">
        <f>PROPER(TRIM('Raw Data'!A16))</f>
        <v>Txn015</v>
      </c>
      <c r="B16" s="3">
        <v>46249</v>
      </c>
      <c r="C16" t="str">
        <f>TRIM('Raw Data'!C16)</f>
        <v>C006</v>
      </c>
      <c r="D16" t="str">
        <f>PROPER(TRIM('Raw Data'!D16))</f>
        <v>David Yusuf</v>
      </c>
      <c r="E16" t="str">
        <f>TRIM('Raw Data'!E16)</f>
        <v>P006</v>
      </c>
      <c r="F16" t="str">
        <f>PROPER(TRIM('Raw Data'!F16))</f>
        <v>Malt Drink</v>
      </c>
      <c r="G16" t="str">
        <f>PROPER(TRIM('Raw Data'!G16))</f>
        <v>Beverages</v>
      </c>
      <c r="H16" s="5" t="str">
        <f>TRIM('Raw Data'!H16)</f>
        <v>8</v>
      </c>
      <c r="I16">
        <f>VALUE('Raw Data'!I16)</f>
        <v>1200</v>
      </c>
      <c r="J16" t="str">
        <f>PROPER(TRIM('Raw Data'!J16))</f>
        <v>Abuja</v>
      </c>
      <c r="K16" t="str">
        <f>PROPER(TRIM('Raw Data'!K16))</f>
        <v>Tolu</v>
      </c>
      <c r="L16" t="str">
        <f>UPPER(TRIM('Raw Data'!L16))</f>
        <v>POS</v>
      </c>
      <c r="M16" t="str">
        <f>PROPER(TRIM('Raw Data'!M16))</f>
        <v>Pending</v>
      </c>
    </row>
    <row r="17" spans="1:13" ht="21" x14ac:dyDescent="0.5">
      <c r="A17" t="str">
        <f>PROPER(TRIM('Raw Data'!A17))</f>
        <v>Txn016</v>
      </c>
      <c r="B17" s="3">
        <v>46250</v>
      </c>
      <c r="C17" t="str">
        <f>TRIM('Raw Data'!C17)</f>
        <v>C003</v>
      </c>
      <c r="D17" t="str">
        <f>PROPER(TRIM('Raw Data'!D17))</f>
        <v>Grace Adeyemi</v>
      </c>
      <c r="E17" t="str">
        <f>TRIM('Raw Data'!E17)</f>
        <v>P001</v>
      </c>
      <c r="F17" t="str">
        <f>PROPER(TRIM('Raw Data'!F17))</f>
        <v>Premium Rice 5Kg</v>
      </c>
      <c r="G17" t="str">
        <f>PROPER(TRIM('Raw Data'!G17))</f>
        <v>Groceries</v>
      </c>
      <c r="H17" s="5" t="str">
        <f>TRIM('Raw Data'!H17)</f>
        <v>1</v>
      </c>
      <c r="I17">
        <f>VALUE('Raw Data'!I17)</f>
        <v>14500</v>
      </c>
      <c r="J17" t="str">
        <f>PROPER(TRIM('Raw Data'!J17))</f>
        <v>Abuja</v>
      </c>
      <c r="K17" t="str">
        <f>PROPER(TRIM('Raw Data'!K17))</f>
        <v>Amaka</v>
      </c>
      <c r="L17" t="str">
        <f>UPPER(TRIM('Raw Data'!L17))</f>
        <v>CASH</v>
      </c>
      <c r="M17" t="str">
        <f>PROPER(TRIM('Raw Data'!M17))</f>
        <v>Paid</v>
      </c>
    </row>
    <row r="18" spans="1:13" ht="21" x14ac:dyDescent="0.5">
      <c r="A18" t="str">
        <f>PROPER(TRIM('Raw Data'!A18))</f>
        <v>Txn017</v>
      </c>
      <c r="B18" s="3">
        <v>46251</v>
      </c>
      <c r="C18" t="str">
        <f>TRIM('Raw Data'!C18)</f>
        <v>C010</v>
      </c>
      <c r="D18" t="str">
        <f>PROPER(TRIM('Raw Data'!D18))</f>
        <v>Peter James</v>
      </c>
      <c r="E18" t="str">
        <f>TRIM('Raw Data'!E18)</f>
        <v>P004</v>
      </c>
      <c r="F18" t="str">
        <f>PROPER(TRIM('Raw Data'!F18))</f>
        <v>Sliced Bread</v>
      </c>
      <c r="G18" t="str">
        <f>PROPER(TRIM('Raw Data'!G18))</f>
        <v>Bakery</v>
      </c>
      <c r="H18" s="5" t="str">
        <f>TRIM('Raw Data'!H18)</f>
        <v>2</v>
      </c>
      <c r="I18">
        <f>VALUE('Raw Data'!I18)</f>
        <v>2200</v>
      </c>
      <c r="J18" t="str">
        <f>PROPER(TRIM('Raw Data'!J18))</f>
        <v>Abuja</v>
      </c>
      <c r="K18" t="str">
        <f>PROPER(TRIM('Raw Data'!K18))</f>
        <v>Chinedu</v>
      </c>
      <c r="L18" t="str">
        <f>UPPER(TRIM('Raw Data'!L18))</f>
        <v>CARD</v>
      </c>
      <c r="M18" t="str">
        <f>PROPER(TRIM('Raw Data'!M18))</f>
        <v>Paid</v>
      </c>
    </row>
    <row r="19" spans="1:13" ht="21" x14ac:dyDescent="0.5">
      <c r="A19" t="str">
        <f>PROPER(TRIM('Raw Data'!A19))</f>
        <v>Txn018</v>
      </c>
      <c r="B19" s="3">
        <v>46252</v>
      </c>
      <c r="C19" t="str">
        <f>TRIM('Raw Data'!C19)</f>
        <v>C007</v>
      </c>
      <c r="D19" t="str">
        <f>PROPER(TRIM('Raw Data'!D19))</f>
        <v>Miriam Balogun</v>
      </c>
      <c r="E19" t="str">
        <f>TRIM('Raw Data'!E19)</f>
        <v>P007</v>
      </c>
      <c r="F19" t="str">
        <f>PROPER(TRIM('Raw Data'!F19))</f>
        <v>Bottled Water</v>
      </c>
      <c r="G19" t="str">
        <f>PROPER(TRIM('Raw Data'!G19))</f>
        <v>Beverages</v>
      </c>
      <c r="H19" s="5" t="str">
        <f>TRIM('Raw Data'!H19)</f>
        <v>3</v>
      </c>
      <c r="I19">
        <f>VALUE('Raw Data'!I19)</f>
        <v>500</v>
      </c>
      <c r="J19" t="str">
        <f>PROPER(TRIM('Raw Data'!J19))</f>
        <v>Ibadan</v>
      </c>
      <c r="K19" t="str">
        <f>PROPER(TRIM('Raw Data'!K19))</f>
        <v>Kemi</v>
      </c>
      <c r="L19" t="str">
        <f>UPPER(TRIM('Raw Data'!L19))</f>
        <v>TRANSFER</v>
      </c>
      <c r="M19" t="str">
        <f>PROPER(TRIM('Raw Data'!M19))</f>
        <v>Paid</v>
      </c>
    </row>
    <row r="20" spans="1:13" ht="21" x14ac:dyDescent="0.5">
      <c r="A20" t="str">
        <f>PROPER(TRIM('Raw Data'!A20))</f>
        <v>Txn019</v>
      </c>
      <c r="B20" s="3">
        <v>46253</v>
      </c>
      <c r="C20" t="str">
        <f>TRIM('Raw Data'!C20)</f>
        <v>C004</v>
      </c>
      <c r="D20" t="str">
        <f>PROPER(TRIM('Raw Data'!D20))</f>
        <v>Samuel Eze</v>
      </c>
      <c r="E20" t="str">
        <f>TRIM('Raw Data'!E20)</f>
        <v>P002</v>
      </c>
      <c r="F20" t="str">
        <f>PROPER(TRIM('Raw Data'!F20))</f>
        <v>Spaghetti</v>
      </c>
      <c r="G20" t="str">
        <f>PROPER(TRIM('Raw Data'!G20))</f>
        <v>Groceries</v>
      </c>
      <c r="H20" s="5" t="str">
        <f>TRIM('Raw Data'!H20)</f>
        <v>4</v>
      </c>
      <c r="I20">
        <f>VALUE('Raw Data'!I20)</f>
        <v>1800</v>
      </c>
      <c r="J20" t="str">
        <f>PROPER(TRIM('Raw Data'!J20))</f>
        <v>Enugu</v>
      </c>
      <c r="K20" t="str">
        <f>PROPER(TRIM('Raw Data'!K20))</f>
        <v>Tolu</v>
      </c>
      <c r="L20" t="str">
        <f>UPPER(TRIM('Raw Data'!L20))</f>
        <v>POS</v>
      </c>
      <c r="M20" t="str">
        <f>PROPER(TRIM('Raw Data'!M20))</f>
        <v>Paid</v>
      </c>
    </row>
    <row r="21" spans="1:13" ht="21" x14ac:dyDescent="0.5">
      <c r="A21" t="str">
        <f>PROPER(TRIM('Raw Data'!A21))</f>
        <v>Txn020</v>
      </c>
      <c r="B21" s="3">
        <v>46254</v>
      </c>
      <c r="C21" t="str">
        <f>TRIM('Raw Data'!C21)</f>
        <v>C001</v>
      </c>
      <c r="D21" t="str">
        <f>PROPER(TRIM('Raw Data'!D21))</f>
        <v>Aisha Bello</v>
      </c>
      <c r="E21" t="str">
        <f>TRIM('Raw Data'!E21)</f>
        <v>P005</v>
      </c>
      <c r="F21" t="str">
        <f>PROPER(TRIM('Raw Data'!F21))</f>
        <v>Meat Pie</v>
      </c>
      <c r="G21" t="str">
        <f>PROPER(TRIM('Raw Data'!G21))</f>
        <v>Bakery</v>
      </c>
      <c r="H21" s="5" t="str">
        <f>TRIM('Raw Data'!H21)</f>
        <v>5</v>
      </c>
      <c r="I21">
        <f>VALUE('Raw Data'!I21)</f>
        <v>1800</v>
      </c>
      <c r="J21" t="str">
        <f>PROPER(TRIM('Raw Data'!J21))</f>
        <v>Lagos</v>
      </c>
      <c r="K21" t="str">
        <f>PROPER(TRIM('Raw Data'!K21))</f>
        <v>Amaka</v>
      </c>
      <c r="L21" t="str">
        <f>UPPER(TRIM('Raw Data'!L21))</f>
        <v>CASH</v>
      </c>
      <c r="M21" t="str">
        <f>PROPER(TRIM('Raw Data'!M21))</f>
        <v>Pending</v>
      </c>
    </row>
    <row r="22" spans="1:13" ht="21" x14ac:dyDescent="0.5">
      <c r="A22" t="str">
        <f>PROPER(TRIM('Raw Data'!A22))</f>
        <v>Txn021</v>
      </c>
      <c r="B22" s="3">
        <v>46255</v>
      </c>
      <c r="C22" t="str">
        <f>TRIM('Raw Data'!C22)</f>
        <v>C008</v>
      </c>
      <c r="D22" t="str">
        <f>PROPER(TRIM('Raw Data'!D22))</f>
        <v>Joseph Adebayo</v>
      </c>
      <c r="E22" t="str">
        <f>TRIM('Raw Data'!E22)</f>
        <v>P008</v>
      </c>
      <c r="F22" t="str">
        <f>PROPER(TRIM('Raw Data'!F22))</f>
        <v>Liquid Soap</v>
      </c>
      <c r="G22" t="str">
        <f>PROPER(TRIM('Raw Data'!G22))</f>
        <v>Household</v>
      </c>
      <c r="H22" s="5" t="str">
        <f>TRIM('Raw Data'!H22)</f>
        <v>6</v>
      </c>
      <c r="I22">
        <f>VALUE('Raw Data'!I22)</f>
        <v>3500</v>
      </c>
      <c r="J22" t="str">
        <f>PROPER(TRIM('Raw Data'!J22))</f>
        <v>Lagos</v>
      </c>
      <c r="K22" t="str">
        <f>PROPER(TRIM('Raw Data'!K22))</f>
        <v>Chinedu</v>
      </c>
      <c r="L22" t="str">
        <f>UPPER(TRIM('Raw Data'!L22))</f>
        <v>CARD</v>
      </c>
      <c r="M22" t="str">
        <f>PROPER(TRIM('Raw Data'!M22))</f>
        <v>Paid</v>
      </c>
    </row>
    <row r="23" spans="1:13" ht="21" x14ac:dyDescent="0.5">
      <c r="A23" t="str">
        <f>PROPER(TRIM('Raw Data'!A23))</f>
        <v>Txn022</v>
      </c>
      <c r="B23" s="3">
        <v>46256</v>
      </c>
      <c r="C23" t="str">
        <f>TRIM('Raw Data'!C23)</f>
        <v>C005</v>
      </c>
      <c r="D23" t="str">
        <f>PROPER(TRIM('Raw Data'!D23))</f>
        <v>Esther Johnson</v>
      </c>
      <c r="E23" t="str">
        <f>TRIM('Raw Data'!E23)</f>
        <v>P003</v>
      </c>
      <c r="F23" t="str">
        <f>PROPER(TRIM('Raw Data'!F23))</f>
        <v>Peak Milk</v>
      </c>
      <c r="G23" t="str">
        <f>PROPER(TRIM('Raw Data'!G23))</f>
        <v>Groceries</v>
      </c>
      <c r="H23" s="5" t="str">
        <f>TRIM('Raw Data'!H23)</f>
        <v>7</v>
      </c>
      <c r="I23">
        <f>VALUE('Raw Data'!I23)</f>
        <v>3200</v>
      </c>
      <c r="J23" t="str">
        <f>PROPER(TRIM('Raw Data'!J23))</f>
        <v>Lagos</v>
      </c>
      <c r="K23" t="str">
        <f>PROPER(TRIM('Raw Data'!K23))</f>
        <v>Kemi</v>
      </c>
      <c r="L23" t="str">
        <f>UPPER(TRIM('Raw Data'!L23))</f>
        <v>TRANSFER</v>
      </c>
      <c r="M23" t="str">
        <f>PROPER(TRIM('Raw Data'!M23))</f>
        <v>Paid</v>
      </c>
    </row>
    <row r="24" spans="1:13" ht="21" x14ac:dyDescent="0.5">
      <c r="A24" t="str">
        <f>PROPER(TRIM('Raw Data'!A24))</f>
        <v>Txn023</v>
      </c>
      <c r="B24" s="3">
        <v>46257</v>
      </c>
      <c r="C24" t="str">
        <f>TRIM('Raw Data'!C24)</f>
        <v>C002</v>
      </c>
      <c r="D24" t="str">
        <f>PROPER(TRIM('Raw Data'!D24))</f>
        <v>Daniel Okafor</v>
      </c>
      <c r="E24" t="str">
        <f>TRIM('Raw Data'!E24)</f>
        <v>P006</v>
      </c>
      <c r="F24" t="str">
        <f>PROPER(TRIM('Raw Data'!F24))</f>
        <v>Malt Drink</v>
      </c>
      <c r="G24" t="str">
        <f>PROPER(TRIM('Raw Data'!G24))</f>
        <v>Beverages</v>
      </c>
      <c r="H24" s="5" t="str">
        <f>TRIM('Raw Data'!H24)</f>
        <v>8</v>
      </c>
      <c r="I24">
        <f>VALUE('Raw Data'!I24)</f>
        <v>1200</v>
      </c>
      <c r="J24" t="str">
        <f>PROPER(TRIM('Raw Data'!J24))</f>
        <v>Ibadan</v>
      </c>
      <c r="K24" t="str">
        <f>PROPER(TRIM('Raw Data'!K24))</f>
        <v>Tolu</v>
      </c>
      <c r="L24" t="str">
        <f>UPPER(TRIM('Raw Data'!L24))</f>
        <v>POS</v>
      </c>
      <c r="M24" t="str">
        <f>PROPER(TRIM('Raw Data'!M24))</f>
        <v>Paid</v>
      </c>
    </row>
    <row r="25" spans="1:13" ht="21" x14ac:dyDescent="0.5">
      <c r="A25" t="str">
        <f>PROPER(TRIM('Raw Data'!A25))</f>
        <v>Txn024</v>
      </c>
      <c r="B25" s="3">
        <v>46258</v>
      </c>
      <c r="C25" t="str">
        <f>TRIM('Raw Data'!C25)</f>
        <v>C009</v>
      </c>
      <c r="D25" t="str">
        <f>PROPER(TRIM('Raw Data'!D25))</f>
        <v>Deborah Obi</v>
      </c>
      <c r="E25" t="str">
        <f>TRIM('Raw Data'!E25)</f>
        <v>P001</v>
      </c>
      <c r="F25" t="str">
        <f>PROPER(TRIM('Raw Data'!F25))</f>
        <v>Premium Rice 5Kg</v>
      </c>
      <c r="G25" t="str">
        <f>PROPER(TRIM('Raw Data'!G25))</f>
        <v>Groceries</v>
      </c>
      <c r="H25" s="5" t="str">
        <f>TRIM('Raw Data'!H25)</f>
        <v>1</v>
      </c>
      <c r="I25">
        <f>VALUE('Raw Data'!I25)</f>
        <v>14500</v>
      </c>
      <c r="J25" t="str">
        <f>PROPER(TRIM('Raw Data'!J25))</f>
        <v>Enugu</v>
      </c>
      <c r="K25" t="str">
        <f>PROPER(TRIM('Raw Data'!K25))</f>
        <v>Amaka</v>
      </c>
      <c r="L25" t="str">
        <f>UPPER(TRIM('Raw Data'!L25))</f>
        <v>CASH</v>
      </c>
      <c r="M25" t="str">
        <f>PROPER(TRIM('Raw Data'!M25))</f>
        <v>Paid</v>
      </c>
    </row>
    <row r="26" spans="1:13" ht="21" x14ac:dyDescent="0.5">
      <c r="A26" t="str">
        <f>PROPER(TRIM('Raw Data'!A26))</f>
        <v>Txn025</v>
      </c>
      <c r="B26" s="3">
        <v>46259</v>
      </c>
      <c r="C26" t="str">
        <f>TRIM('Raw Data'!C26)</f>
        <v>C006</v>
      </c>
      <c r="D26" t="str">
        <f>PROPER(TRIM('Raw Data'!D26))</f>
        <v>David Yusuf</v>
      </c>
      <c r="E26" t="str">
        <f>TRIM('Raw Data'!E26)</f>
        <v>P004</v>
      </c>
      <c r="F26" t="str">
        <f>PROPER(TRIM('Raw Data'!F26))</f>
        <v>Sliced Bread</v>
      </c>
      <c r="G26" t="str">
        <f>PROPER(TRIM('Raw Data'!G26))</f>
        <v>Bakery</v>
      </c>
      <c r="H26" s="5" t="str">
        <f>TRIM('Raw Data'!H26)</f>
        <v>2</v>
      </c>
      <c r="I26">
        <f>VALUE('Raw Data'!I26)</f>
        <v>2200</v>
      </c>
      <c r="J26" t="str">
        <f>PROPER(TRIM('Raw Data'!J26))</f>
        <v>Abuja</v>
      </c>
      <c r="K26" t="str">
        <f>PROPER(TRIM('Raw Data'!K26))</f>
        <v>Chinedu</v>
      </c>
      <c r="L26" t="str">
        <f>UPPER(TRIM('Raw Data'!L26))</f>
        <v>CARD</v>
      </c>
      <c r="M26" t="str">
        <f>PROPER(TRIM('Raw Data'!M26))</f>
        <v>Pending</v>
      </c>
    </row>
    <row r="27" spans="1:13" ht="21" x14ac:dyDescent="0.5">
      <c r="A27" t="str">
        <f>PROPER(TRIM('Raw Data'!A27))</f>
        <v>Txn026</v>
      </c>
      <c r="B27" s="3">
        <v>46260</v>
      </c>
      <c r="C27" t="str">
        <f>TRIM('Raw Data'!C27)</f>
        <v>C003</v>
      </c>
      <c r="D27" t="str">
        <f>PROPER(TRIM('Raw Data'!D27))</f>
        <v>Grace Adeyemi</v>
      </c>
      <c r="E27" t="str">
        <f>TRIM('Raw Data'!E27)</f>
        <v>P007</v>
      </c>
      <c r="F27" t="str">
        <f>PROPER(TRIM('Raw Data'!F27))</f>
        <v>Bottled Water</v>
      </c>
      <c r="G27" t="str">
        <f>PROPER(TRIM('Raw Data'!G27))</f>
        <v>Beverages</v>
      </c>
      <c r="H27" s="5" t="str">
        <f>TRIM('Raw Data'!H27)</f>
        <v>3</v>
      </c>
      <c r="I27">
        <f>VALUE('Raw Data'!I27)</f>
        <v>500</v>
      </c>
      <c r="J27" t="str">
        <f>PROPER(TRIM('Raw Data'!J27))</f>
        <v>Abuja</v>
      </c>
      <c r="K27" t="str">
        <f>PROPER(TRIM('Raw Data'!K27))</f>
        <v>Kemi</v>
      </c>
      <c r="L27" t="str">
        <f>UPPER(TRIM('Raw Data'!L27))</f>
        <v>TRANSFER</v>
      </c>
      <c r="M27" t="str">
        <f>PROPER(TRIM('Raw Data'!M27))</f>
        <v>Paid</v>
      </c>
    </row>
    <row r="28" spans="1:13" ht="21" x14ac:dyDescent="0.5">
      <c r="A28" t="str">
        <f>PROPER(TRIM('Raw Data'!A28))</f>
        <v>Txn027</v>
      </c>
      <c r="B28" s="3">
        <v>46261</v>
      </c>
      <c r="C28" t="str">
        <f>TRIM('Raw Data'!C28)</f>
        <v>C010</v>
      </c>
      <c r="D28" t="str">
        <f>PROPER(TRIM('Raw Data'!D28))</f>
        <v>Peter James</v>
      </c>
      <c r="E28" t="str">
        <f>TRIM('Raw Data'!E28)</f>
        <v>P002</v>
      </c>
      <c r="F28" t="str">
        <f>PROPER(TRIM('Raw Data'!F28))</f>
        <v>Spaghetti</v>
      </c>
      <c r="G28" t="str">
        <f>PROPER(TRIM('Raw Data'!G28))</f>
        <v>Groceries</v>
      </c>
      <c r="H28" s="5" t="str">
        <f>TRIM('Raw Data'!H28)</f>
        <v>4</v>
      </c>
      <c r="I28">
        <f>VALUE('Raw Data'!I28)</f>
        <v>1800</v>
      </c>
      <c r="J28" t="str">
        <f>PROPER(TRIM('Raw Data'!J28))</f>
        <v>Abuja</v>
      </c>
      <c r="K28" t="str">
        <f>PROPER(TRIM('Raw Data'!K28))</f>
        <v>Tolu</v>
      </c>
      <c r="L28" t="str">
        <f>UPPER(TRIM('Raw Data'!L28))</f>
        <v>POS</v>
      </c>
      <c r="M28" t="str">
        <f>PROPER(TRIM('Raw Data'!M28))</f>
        <v>Paid</v>
      </c>
    </row>
    <row r="29" spans="1:13" ht="21" x14ac:dyDescent="0.5">
      <c r="A29" t="str">
        <f>PROPER(TRIM('Raw Data'!A29))</f>
        <v>Txn028</v>
      </c>
      <c r="B29" s="3">
        <v>46262</v>
      </c>
      <c r="C29" t="str">
        <f>TRIM('Raw Data'!C29)</f>
        <v>C007</v>
      </c>
      <c r="D29" t="str">
        <f>PROPER(TRIM('Raw Data'!D29))</f>
        <v>Miriam Balogun</v>
      </c>
      <c r="E29" t="str">
        <f>TRIM('Raw Data'!E29)</f>
        <v>P005</v>
      </c>
      <c r="F29" t="str">
        <f>PROPER(TRIM('Raw Data'!F29))</f>
        <v>Meat Pie</v>
      </c>
      <c r="G29" t="str">
        <f>PROPER(TRIM('Raw Data'!G29))</f>
        <v>Bakery</v>
      </c>
      <c r="H29" s="5" t="str">
        <f>TRIM('Raw Data'!H29)</f>
        <v>5</v>
      </c>
      <c r="I29">
        <f>VALUE('Raw Data'!I29)</f>
        <v>1800</v>
      </c>
      <c r="J29" t="str">
        <f>PROPER(TRIM('Raw Data'!J29))</f>
        <v>Ibadan</v>
      </c>
      <c r="K29" t="str">
        <f>PROPER(TRIM('Raw Data'!K29))</f>
        <v>Amaka</v>
      </c>
      <c r="L29" t="str">
        <f>UPPER(TRIM('Raw Data'!L29))</f>
        <v>CASH</v>
      </c>
      <c r="M29" t="str">
        <f>PROPER(TRIM('Raw Data'!M29))</f>
        <v>Paid</v>
      </c>
    </row>
    <row r="30" spans="1:13" ht="21" x14ac:dyDescent="0.5">
      <c r="A30" t="str">
        <f>PROPER(TRIM('Raw Data'!A30))</f>
        <v>Txn029</v>
      </c>
      <c r="B30" s="3">
        <v>46235</v>
      </c>
      <c r="C30" t="str">
        <f>TRIM('Raw Data'!C30)</f>
        <v>C004</v>
      </c>
      <c r="D30" t="str">
        <f>PROPER(TRIM('Raw Data'!D30))</f>
        <v>Samuel Eze</v>
      </c>
      <c r="E30" t="str">
        <f>TRIM('Raw Data'!E30)</f>
        <v>P008</v>
      </c>
      <c r="F30" t="str">
        <f>PROPER(TRIM('Raw Data'!F30))</f>
        <v>Liquid Soap</v>
      </c>
      <c r="G30" t="str">
        <f>PROPER(TRIM('Raw Data'!G30))</f>
        <v>Household</v>
      </c>
      <c r="H30" s="5" t="str">
        <f>TRIM('Raw Data'!H30)</f>
        <v>6</v>
      </c>
      <c r="I30">
        <f>VALUE('Raw Data'!I30)</f>
        <v>3500</v>
      </c>
      <c r="J30" t="str">
        <f>PROPER(TRIM('Raw Data'!J30))</f>
        <v>Enugu</v>
      </c>
      <c r="K30" t="str">
        <f>PROPER(TRIM('Raw Data'!K30))</f>
        <v>Chinedu</v>
      </c>
      <c r="L30" t="str">
        <f>UPPER(TRIM('Raw Data'!L30))</f>
        <v>CARD</v>
      </c>
      <c r="M30" t="str">
        <f>PROPER(TRIM('Raw Data'!M30))</f>
        <v>Paid</v>
      </c>
    </row>
    <row r="31" spans="1:13" ht="21" x14ac:dyDescent="0.5">
      <c r="A31" t="str">
        <f>PROPER(TRIM('Raw Data'!A31))</f>
        <v>Txn030</v>
      </c>
      <c r="B31" s="3">
        <v>46236</v>
      </c>
      <c r="C31" t="str">
        <f>TRIM('Raw Data'!C31)</f>
        <v>C001</v>
      </c>
      <c r="D31" t="str">
        <f>PROPER(TRIM('Raw Data'!D31))</f>
        <v>Aisha Bello</v>
      </c>
      <c r="E31" t="str">
        <f>TRIM('Raw Data'!E31)</f>
        <v>P003</v>
      </c>
      <c r="F31" t="str">
        <f>PROPER(TRIM('Raw Data'!F31))</f>
        <v>Peak Milk</v>
      </c>
      <c r="G31" t="str">
        <f>PROPER(TRIM('Raw Data'!G31))</f>
        <v>Groceries</v>
      </c>
      <c r="H31" s="5" t="str">
        <f>TRIM('Raw Data'!H31)</f>
        <v>7</v>
      </c>
      <c r="I31">
        <f>VALUE('Raw Data'!I31)</f>
        <v>3200</v>
      </c>
      <c r="J31" t="str">
        <f>PROPER(TRIM('Raw Data'!J31))</f>
        <v>Lagos</v>
      </c>
      <c r="K31" t="str">
        <f>PROPER(TRIM('Raw Data'!K31))</f>
        <v>Kemi</v>
      </c>
      <c r="L31" t="str">
        <f>UPPER(TRIM('Raw Data'!L31))</f>
        <v>TRANSFER</v>
      </c>
      <c r="M31" t="str">
        <f>PROPER(TRIM('Raw Data'!M31))</f>
        <v>Pending</v>
      </c>
    </row>
    <row r="32" spans="1:13" ht="21" x14ac:dyDescent="0.5">
      <c r="A32" t="str">
        <f>PROPER(TRIM('Raw Data'!A32))</f>
        <v>Txn031</v>
      </c>
      <c r="B32" s="3">
        <v>46237</v>
      </c>
      <c r="C32" t="str">
        <f>TRIM('Raw Data'!C32)</f>
        <v>C008</v>
      </c>
      <c r="D32" t="str">
        <f>PROPER(TRIM('Raw Data'!D32))</f>
        <v>Joseph Adebayo</v>
      </c>
      <c r="E32" t="str">
        <f>TRIM('Raw Data'!E32)</f>
        <v>P006</v>
      </c>
      <c r="F32" t="str">
        <f>PROPER(TRIM('Raw Data'!F32))</f>
        <v>Malt Drink</v>
      </c>
      <c r="G32" t="str">
        <f>PROPER(TRIM('Raw Data'!G32))</f>
        <v>Beverages</v>
      </c>
      <c r="H32" s="5" t="str">
        <f>TRIM('Raw Data'!H32)</f>
        <v>8</v>
      </c>
      <c r="I32">
        <f>VALUE('Raw Data'!I32)</f>
        <v>1200</v>
      </c>
      <c r="J32" t="str">
        <f>PROPER(TRIM('Raw Data'!J32))</f>
        <v>Lagos</v>
      </c>
      <c r="K32" t="str">
        <f>PROPER(TRIM('Raw Data'!K32))</f>
        <v>Tolu</v>
      </c>
      <c r="L32" t="str">
        <f>UPPER(TRIM('Raw Data'!L32))</f>
        <v>POS</v>
      </c>
      <c r="M32" t="str">
        <f>PROPER(TRIM('Raw Data'!M32))</f>
        <v>Paid</v>
      </c>
    </row>
    <row r="33" spans="1:13" ht="21" x14ac:dyDescent="0.5">
      <c r="A33" t="str">
        <f>PROPER(TRIM('Raw Data'!A33))</f>
        <v>Txn032</v>
      </c>
      <c r="B33" s="3">
        <v>46238</v>
      </c>
      <c r="C33" t="str">
        <f>TRIM('Raw Data'!C33)</f>
        <v>C005</v>
      </c>
      <c r="D33" t="str">
        <f>PROPER(TRIM('Raw Data'!D33))</f>
        <v>Esther Johnson</v>
      </c>
      <c r="E33" t="str">
        <f>TRIM('Raw Data'!E33)</f>
        <v>P001</v>
      </c>
      <c r="F33" t="str">
        <f>PROPER(TRIM('Raw Data'!F33))</f>
        <v>Premium Rice 5Kg</v>
      </c>
      <c r="G33" t="str">
        <f>PROPER(TRIM('Raw Data'!G33))</f>
        <v>Groceries</v>
      </c>
      <c r="H33" s="5" t="str">
        <f>TRIM('Raw Data'!H33)</f>
        <v>1</v>
      </c>
      <c r="I33">
        <f>VALUE('Raw Data'!I33)</f>
        <v>14500</v>
      </c>
      <c r="J33" t="str">
        <f>PROPER(TRIM('Raw Data'!J33))</f>
        <v>Lagos</v>
      </c>
      <c r="K33" t="str">
        <f>PROPER(TRIM('Raw Data'!K33))</f>
        <v>Amaka</v>
      </c>
      <c r="L33" t="str">
        <f>UPPER(TRIM('Raw Data'!L33))</f>
        <v>CASH</v>
      </c>
      <c r="M33" t="str">
        <f>PROPER(TRIM('Raw Data'!M33))</f>
        <v>Paid</v>
      </c>
    </row>
    <row r="34" spans="1:13" ht="21" x14ac:dyDescent="0.5">
      <c r="A34" t="str">
        <f>PROPER(TRIM('Raw Data'!A34))</f>
        <v>Txn033</v>
      </c>
      <c r="B34" s="3">
        <v>46239</v>
      </c>
      <c r="C34" t="str">
        <f>TRIM('Raw Data'!C34)</f>
        <v>C002</v>
      </c>
      <c r="D34" t="str">
        <f>PROPER(TRIM('Raw Data'!D34))</f>
        <v>Daniel Okafor</v>
      </c>
      <c r="E34" t="str">
        <f>TRIM('Raw Data'!E34)</f>
        <v>P004</v>
      </c>
      <c r="F34" t="str">
        <f>PROPER(TRIM('Raw Data'!F34))</f>
        <v>Sliced Bread</v>
      </c>
      <c r="G34" t="str">
        <f>PROPER(TRIM('Raw Data'!G34))</f>
        <v>Bakery</v>
      </c>
      <c r="H34" s="5" t="str">
        <f>TRIM('Raw Data'!H34)</f>
        <v>2</v>
      </c>
      <c r="I34">
        <f>VALUE('Raw Data'!I34)</f>
        <v>2200</v>
      </c>
      <c r="J34" t="str">
        <f>PROPER(TRIM('Raw Data'!J34))</f>
        <v>Ibadan</v>
      </c>
      <c r="K34" t="str">
        <f>PROPER(TRIM('Raw Data'!K34))</f>
        <v>Chinedu</v>
      </c>
      <c r="L34" t="str">
        <f>UPPER(TRIM('Raw Data'!L34))</f>
        <v>CARD</v>
      </c>
      <c r="M34" t="str">
        <f>PROPER(TRIM('Raw Data'!M34))</f>
        <v>Paid</v>
      </c>
    </row>
    <row r="35" spans="1:13" ht="21" x14ac:dyDescent="0.5">
      <c r="A35" t="str">
        <f>PROPER(TRIM('Raw Data'!A35))</f>
        <v>Txn034</v>
      </c>
      <c r="B35" s="3">
        <v>46240</v>
      </c>
      <c r="C35" t="str">
        <f>TRIM('Raw Data'!C35)</f>
        <v>C009</v>
      </c>
      <c r="D35" t="str">
        <f>PROPER(TRIM('Raw Data'!D35))</f>
        <v>Deborah Obi</v>
      </c>
      <c r="E35" t="str">
        <f>TRIM('Raw Data'!E35)</f>
        <v>P007</v>
      </c>
      <c r="F35" t="str">
        <f>PROPER(TRIM('Raw Data'!F35))</f>
        <v>Bottled Water</v>
      </c>
      <c r="G35" t="str">
        <f>PROPER(TRIM('Raw Data'!G35))</f>
        <v>Beverages</v>
      </c>
      <c r="H35" s="5" t="str">
        <f>TRIM('Raw Data'!H35)</f>
        <v>3</v>
      </c>
      <c r="I35">
        <f>VALUE('Raw Data'!I35)</f>
        <v>500</v>
      </c>
      <c r="J35" t="str">
        <f>PROPER(TRIM('Raw Data'!J35))</f>
        <v>Enugu</v>
      </c>
      <c r="K35" t="str">
        <f>PROPER(TRIM('Raw Data'!K35))</f>
        <v>Kemi</v>
      </c>
      <c r="L35" t="str">
        <f>UPPER(TRIM('Raw Data'!L35))</f>
        <v>TRANSFER</v>
      </c>
      <c r="M35" t="str">
        <f>PROPER(TRIM('Raw Data'!M35))</f>
        <v>Paid</v>
      </c>
    </row>
    <row r="36" spans="1:13" ht="21" x14ac:dyDescent="0.5">
      <c r="A36" t="str">
        <f>PROPER(TRIM('Raw Data'!A36))</f>
        <v>Txn035</v>
      </c>
      <c r="B36" s="3">
        <v>46241</v>
      </c>
      <c r="C36" t="str">
        <f>TRIM('Raw Data'!C36)</f>
        <v>C006</v>
      </c>
      <c r="D36" t="str">
        <f>PROPER(TRIM('Raw Data'!D36))</f>
        <v>David Yusuf</v>
      </c>
      <c r="E36" t="str">
        <f>TRIM('Raw Data'!E36)</f>
        <v>P002</v>
      </c>
      <c r="F36" t="str">
        <f>PROPER(TRIM('Raw Data'!F36))</f>
        <v>Spaghetti</v>
      </c>
      <c r="G36" t="str">
        <f>PROPER(TRIM('Raw Data'!G36))</f>
        <v>Groceries</v>
      </c>
      <c r="H36" s="5" t="str">
        <f>TRIM('Raw Data'!H36)</f>
        <v>4</v>
      </c>
      <c r="I36">
        <f>VALUE('Raw Data'!I36)</f>
        <v>1800</v>
      </c>
      <c r="J36" t="str">
        <f>PROPER(TRIM('Raw Data'!J36))</f>
        <v>Abuja</v>
      </c>
      <c r="K36" t="str">
        <f>PROPER(TRIM('Raw Data'!K36))</f>
        <v>Tolu</v>
      </c>
      <c r="L36" t="str">
        <f>UPPER(TRIM('Raw Data'!L36))</f>
        <v>POS</v>
      </c>
      <c r="M36" t="str">
        <f>PROPER(TRIM('Raw Data'!M36))</f>
        <v>Pending</v>
      </c>
    </row>
    <row r="37" spans="1:13" ht="21" x14ac:dyDescent="0.5">
      <c r="A37" t="str">
        <f>PROPER(TRIM('Raw Data'!A37))</f>
        <v>Txn036</v>
      </c>
      <c r="B37" s="3">
        <v>46242</v>
      </c>
      <c r="C37" t="str">
        <f>TRIM('Raw Data'!C37)</f>
        <v>C003</v>
      </c>
      <c r="D37" t="str">
        <f>PROPER(TRIM('Raw Data'!D37))</f>
        <v>Grace Adeyemi</v>
      </c>
      <c r="E37" t="str">
        <f>TRIM('Raw Data'!E37)</f>
        <v>P005</v>
      </c>
      <c r="F37" t="str">
        <f>PROPER(TRIM('Raw Data'!F37))</f>
        <v>Meat Pie</v>
      </c>
      <c r="G37" t="str">
        <f>PROPER(TRIM('Raw Data'!G37))</f>
        <v>Bakery</v>
      </c>
      <c r="H37" s="5" t="str">
        <f>TRIM('Raw Data'!H37)</f>
        <v>5</v>
      </c>
      <c r="I37">
        <f>VALUE('Raw Data'!I37)</f>
        <v>1800</v>
      </c>
      <c r="J37" t="str">
        <f>PROPER(TRIM('Raw Data'!J37))</f>
        <v>Abuja</v>
      </c>
      <c r="K37" t="str">
        <f>PROPER(TRIM('Raw Data'!K37))</f>
        <v>Amaka</v>
      </c>
      <c r="L37" t="str">
        <f>UPPER(TRIM('Raw Data'!L37))</f>
        <v>CASH</v>
      </c>
      <c r="M37" t="str">
        <f>PROPER(TRIM('Raw Data'!M37))</f>
        <v>Paid</v>
      </c>
    </row>
    <row r="38" spans="1:13" ht="21" x14ac:dyDescent="0.5">
      <c r="A38" t="str">
        <f>PROPER(TRIM('Raw Data'!A38))</f>
        <v>Txn037</v>
      </c>
      <c r="B38" s="3">
        <v>46243</v>
      </c>
      <c r="C38" t="str">
        <f>TRIM('Raw Data'!C38)</f>
        <v>C010</v>
      </c>
      <c r="D38" t="str">
        <f>PROPER(TRIM('Raw Data'!D38))</f>
        <v>Peter James</v>
      </c>
      <c r="E38" t="str">
        <f>TRIM('Raw Data'!E38)</f>
        <v>P008</v>
      </c>
      <c r="F38" t="str">
        <f>PROPER(TRIM('Raw Data'!F38))</f>
        <v>Liquid Soap</v>
      </c>
      <c r="G38" t="str">
        <f>PROPER(TRIM('Raw Data'!G38))</f>
        <v>Household</v>
      </c>
      <c r="H38" s="5" t="str">
        <f>TRIM('Raw Data'!H38)</f>
        <v>6</v>
      </c>
      <c r="I38">
        <f>VALUE('Raw Data'!I38)</f>
        <v>3500</v>
      </c>
      <c r="J38" t="str">
        <f>PROPER(TRIM('Raw Data'!J38))</f>
        <v>Abuja</v>
      </c>
      <c r="K38" t="str">
        <f>PROPER(TRIM('Raw Data'!K38))</f>
        <v>Chinedu</v>
      </c>
      <c r="L38" t="str">
        <f>UPPER(TRIM('Raw Data'!L38))</f>
        <v>CARD</v>
      </c>
      <c r="M38" t="str">
        <f>PROPER(TRIM('Raw Data'!M38))</f>
        <v>Paid</v>
      </c>
    </row>
    <row r="39" spans="1:13" ht="21" x14ac:dyDescent="0.5">
      <c r="A39" t="str">
        <f>PROPER(TRIM('Raw Data'!A39))</f>
        <v>Txn038</v>
      </c>
      <c r="B39" s="3">
        <v>46244</v>
      </c>
      <c r="C39" t="str">
        <f>TRIM('Raw Data'!C39)</f>
        <v>C007</v>
      </c>
      <c r="D39" t="str">
        <f>PROPER(TRIM('Raw Data'!D39))</f>
        <v>Miriam Balogun</v>
      </c>
      <c r="E39" t="str">
        <f>TRIM('Raw Data'!E39)</f>
        <v>P003</v>
      </c>
      <c r="F39" t="str">
        <f>PROPER(TRIM('Raw Data'!F39))</f>
        <v>Peak Milk</v>
      </c>
      <c r="G39" t="str">
        <f>PROPER(TRIM('Raw Data'!G39))</f>
        <v>Groceries</v>
      </c>
      <c r="H39" s="5" t="str">
        <f>TRIM('Raw Data'!H39)</f>
        <v>7</v>
      </c>
      <c r="I39">
        <f>VALUE('Raw Data'!I39)</f>
        <v>3200</v>
      </c>
      <c r="J39" t="str">
        <f>PROPER(TRIM('Raw Data'!J39))</f>
        <v>Ibadan</v>
      </c>
      <c r="K39" t="str">
        <f>PROPER(TRIM('Raw Data'!K39))</f>
        <v>Kemi</v>
      </c>
      <c r="L39" t="str">
        <f>UPPER(TRIM('Raw Data'!L39))</f>
        <v>TRANSFER</v>
      </c>
      <c r="M39" t="str">
        <f>PROPER(TRIM('Raw Data'!M39))</f>
        <v>Paid</v>
      </c>
    </row>
    <row r="40" spans="1:13" ht="21" x14ac:dyDescent="0.5">
      <c r="A40" t="str">
        <f>PROPER(TRIM('Raw Data'!A40))</f>
        <v>Txn039</v>
      </c>
      <c r="B40" s="3">
        <v>46245</v>
      </c>
      <c r="C40" t="str">
        <f>TRIM('Raw Data'!C40)</f>
        <v>C004</v>
      </c>
      <c r="D40" t="str">
        <f>PROPER(TRIM('Raw Data'!D40))</f>
        <v>Samuel Eze</v>
      </c>
      <c r="E40" t="str">
        <f>TRIM('Raw Data'!E40)</f>
        <v>P006</v>
      </c>
      <c r="F40" t="str">
        <f>PROPER(TRIM('Raw Data'!F40))</f>
        <v>Malt Drink</v>
      </c>
      <c r="G40" t="str">
        <f>PROPER(TRIM('Raw Data'!G40))</f>
        <v>Beverages</v>
      </c>
      <c r="H40" s="5" t="str">
        <f>TRIM('Raw Data'!H40)</f>
        <v>8</v>
      </c>
      <c r="I40">
        <f>VALUE('Raw Data'!I40)</f>
        <v>1200</v>
      </c>
      <c r="J40" t="str">
        <f>PROPER(TRIM('Raw Data'!J40))</f>
        <v>Enugu</v>
      </c>
      <c r="K40" t="str">
        <f>PROPER(TRIM('Raw Data'!K40))</f>
        <v>Tolu</v>
      </c>
      <c r="L40" t="str">
        <f>UPPER(TRIM('Raw Data'!L40))</f>
        <v>POS</v>
      </c>
      <c r="M40" t="str">
        <f>PROPER(TRIM('Raw Data'!M40))</f>
        <v>Paid</v>
      </c>
    </row>
    <row r="41" spans="1:13" ht="21" x14ac:dyDescent="0.5">
      <c r="A41" t="str">
        <f>PROPER(TRIM('Raw Data'!A41))</f>
        <v>Txn040</v>
      </c>
      <c r="B41" s="3">
        <v>46246</v>
      </c>
      <c r="C41" t="str">
        <f>TRIM('Raw Data'!C41)</f>
        <v>C001</v>
      </c>
      <c r="D41" t="str">
        <f>PROPER(TRIM('Raw Data'!D41))</f>
        <v>Aisha Bello</v>
      </c>
      <c r="E41" t="str">
        <f>TRIM('Raw Data'!E41)</f>
        <v>P001</v>
      </c>
      <c r="F41" t="str">
        <f>PROPER(TRIM('Raw Data'!F41))</f>
        <v>Premium Rice 5Kg</v>
      </c>
      <c r="G41" t="str">
        <f>PROPER(TRIM('Raw Data'!G41))</f>
        <v>Groceries</v>
      </c>
      <c r="H41" s="5" t="str">
        <f>TRIM('Raw Data'!H41)</f>
        <v>1</v>
      </c>
      <c r="I41">
        <f>VALUE('Raw Data'!I41)</f>
        <v>14500</v>
      </c>
      <c r="J41" t="str">
        <f>PROPER(TRIM('Raw Data'!J41))</f>
        <v>Lagos</v>
      </c>
      <c r="K41" t="str">
        <f>PROPER(TRIM('Raw Data'!K41))</f>
        <v>Amaka</v>
      </c>
      <c r="L41" t="str">
        <f>UPPER(TRIM('Raw Data'!L41))</f>
        <v>CASH</v>
      </c>
      <c r="M41" t="str">
        <f>PROPER(TRIM('Raw Data'!M41))</f>
        <v>Pending</v>
      </c>
    </row>
    <row r="42" spans="1:13" ht="21" x14ac:dyDescent="0.5">
      <c r="A42" t="str">
        <f>PROPER(TRIM('Raw Data'!A42))</f>
        <v>Txn041</v>
      </c>
      <c r="B42" s="3">
        <v>46247</v>
      </c>
      <c r="C42" t="str">
        <f>TRIM('Raw Data'!C42)</f>
        <v>C008</v>
      </c>
      <c r="D42" t="str">
        <f>PROPER(TRIM('Raw Data'!D42))</f>
        <v>Joseph Adebayo</v>
      </c>
      <c r="E42" t="str">
        <f>TRIM('Raw Data'!E42)</f>
        <v>P004</v>
      </c>
      <c r="F42" t="str">
        <f>PROPER(TRIM('Raw Data'!F42))</f>
        <v>Sliced Bread</v>
      </c>
      <c r="G42" t="str">
        <f>PROPER(TRIM('Raw Data'!G42))</f>
        <v>Bakery</v>
      </c>
      <c r="H42" s="5" t="str">
        <f>TRIM('Raw Data'!H42)</f>
        <v>2</v>
      </c>
      <c r="I42">
        <f>VALUE('Raw Data'!I42)</f>
        <v>2200</v>
      </c>
      <c r="J42" t="str">
        <f>PROPER(TRIM('Raw Data'!J42))</f>
        <v>Lagos</v>
      </c>
      <c r="K42" t="str">
        <f>PROPER(TRIM('Raw Data'!K42))</f>
        <v>Chinedu</v>
      </c>
      <c r="L42" t="str">
        <f>UPPER(TRIM('Raw Data'!L42))</f>
        <v>CARD</v>
      </c>
      <c r="M42" t="str">
        <f>PROPER(TRIM('Raw Data'!M42))</f>
        <v>Paid</v>
      </c>
    </row>
    <row r="43" spans="1:13" ht="21" x14ac:dyDescent="0.5">
      <c r="A43" t="str">
        <f>PROPER(TRIM('Raw Data'!A43))</f>
        <v>Txn042</v>
      </c>
      <c r="B43" s="3">
        <v>46248</v>
      </c>
      <c r="C43" t="str">
        <f>TRIM('Raw Data'!C43)</f>
        <v>C005</v>
      </c>
      <c r="D43" t="str">
        <f>PROPER(TRIM('Raw Data'!D43))</f>
        <v>Esther Johnson</v>
      </c>
      <c r="E43" t="str">
        <f>TRIM('Raw Data'!E43)</f>
        <v>P007</v>
      </c>
      <c r="F43" t="str">
        <f>PROPER(TRIM('Raw Data'!F43))</f>
        <v>Bottled Water</v>
      </c>
      <c r="G43" t="str">
        <f>PROPER(TRIM('Raw Data'!G43))</f>
        <v>Beverages</v>
      </c>
      <c r="H43" s="5" t="str">
        <f>TRIM('Raw Data'!H43)</f>
        <v>3</v>
      </c>
      <c r="I43">
        <f>VALUE('Raw Data'!I43)</f>
        <v>500</v>
      </c>
      <c r="J43" t="str">
        <f>PROPER(TRIM('Raw Data'!J43))</f>
        <v>Lagos</v>
      </c>
      <c r="K43" t="str">
        <f>PROPER(TRIM('Raw Data'!K43))</f>
        <v>Kemi</v>
      </c>
      <c r="L43" t="str">
        <f>UPPER(TRIM('Raw Data'!L43))</f>
        <v>TRANSFER</v>
      </c>
      <c r="M43" t="str">
        <f>PROPER(TRIM('Raw Data'!M43))</f>
        <v>Paid</v>
      </c>
    </row>
    <row r="44" spans="1:13" ht="21" x14ac:dyDescent="0.5">
      <c r="A44" t="str">
        <f>PROPER(TRIM('Raw Data'!A44))</f>
        <v>Txn043</v>
      </c>
      <c r="B44" s="3">
        <v>46249</v>
      </c>
      <c r="C44" t="str">
        <f>TRIM('Raw Data'!C44)</f>
        <v>C002</v>
      </c>
      <c r="D44" t="str">
        <f>PROPER(TRIM('Raw Data'!D44))</f>
        <v>Daniel Okafor</v>
      </c>
      <c r="E44" t="str">
        <f>TRIM('Raw Data'!E44)</f>
        <v>P002</v>
      </c>
      <c r="F44" t="str">
        <f>PROPER(TRIM('Raw Data'!F44))</f>
        <v>Spaghetti</v>
      </c>
      <c r="G44" t="str">
        <f>PROPER(TRIM('Raw Data'!G44))</f>
        <v>Groceries</v>
      </c>
      <c r="H44" s="5" t="str">
        <f>TRIM('Raw Data'!H44)</f>
        <v>4</v>
      </c>
      <c r="I44">
        <f>VALUE('Raw Data'!I44)</f>
        <v>1800</v>
      </c>
      <c r="J44" t="str">
        <f>PROPER(TRIM('Raw Data'!J44))</f>
        <v>Ibadan</v>
      </c>
      <c r="K44" t="str">
        <f>PROPER(TRIM('Raw Data'!K44))</f>
        <v>Tolu</v>
      </c>
      <c r="L44" t="str">
        <f>UPPER(TRIM('Raw Data'!L44))</f>
        <v>POS</v>
      </c>
      <c r="M44" t="str">
        <f>PROPER(TRIM('Raw Data'!M44))</f>
        <v>Paid</v>
      </c>
    </row>
    <row r="45" spans="1:13" ht="21" x14ac:dyDescent="0.5">
      <c r="A45" t="str">
        <f>PROPER(TRIM('Raw Data'!A45))</f>
        <v>Txn044</v>
      </c>
      <c r="B45" s="3">
        <v>46250</v>
      </c>
      <c r="C45" t="str">
        <f>TRIM('Raw Data'!C45)</f>
        <v>C009</v>
      </c>
      <c r="D45" t="str">
        <f>PROPER(TRIM('Raw Data'!D45))</f>
        <v>Deborah Obi</v>
      </c>
      <c r="E45" t="str">
        <f>TRIM('Raw Data'!E45)</f>
        <v>P005</v>
      </c>
      <c r="F45" t="str">
        <f>PROPER(TRIM('Raw Data'!F45))</f>
        <v>Meat Pie</v>
      </c>
      <c r="G45" t="str">
        <f>PROPER(TRIM('Raw Data'!G45))</f>
        <v>Bakery</v>
      </c>
      <c r="H45" s="5" t="str">
        <f>TRIM('Raw Data'!H45)</f>
        <v>5</v>
      </c>
      <c r="I45">
        <f>VALUE('Raw Data'!I45)</f>
        <v>1800</v>
      </c>
      <c r="J45" t="str">
        <f>PROPER(TRIM('Raw Data'!J45))</f>
        <v>Enugu</v>
      </c>
      <c r="K45" t="str">
        <f>PROPER(TRIM('Raw Data'!K45))</f>
        <v>Amaka</v>
      </c>
      <c r="L45" t="str">
        <f>UPPER(TRIM('Raw Data'!L45))</f>
        <v>CASH</v>
      </c>
      <c r="M45" t="str">
        <f>PROPER(TRIM('Raw Data'!M45))</f>
        <v>Paid</v>
      </c>
    </row>
    <row r="46" spans="1:13" ht="21" x14ac:dyDescent="0.5">
      <c r="A46" t="str">
        <f>PROPER(TRIM('Raw Data'!A46))</f>
        <v>Txn045</v>
      </c>
      <c r="B46" s="3">
        <v>46251</v>
      </c>
      <c r="C46" t="str">
        <f>TRIM('Raw Data'!C46)</f>
        <v>C006</v>
      </c>
      <c r="D46" t="str">
        <f>PROPER(TRIM('Raw Data'!D46))</f>
        <v>David Yusuf</v>
      </c>
      <c r="E46" t="str">
        <f>TRIM('Raw Data'!E46)</f>
        <v>P008</v>
      </c>
      <c r="F46" t="str">
        <f>PROPER(TRIM('Raw Data'!F46))</f>
        <v>Liquid Soap</v>
      </c>
      <c r="G46" t="str">
        <f>PROPER(TRIM('Raw Data'!G46))</f>
        <v>Household</v>
      </c>
      <c r="H46" s="5" t="str">
        <f>TRIM('Raw Data'!H46)</f>
        <v>6</v>
      </c>
      <c r="I46">
        <f>VALUE('Raw Data'!I46)</f>
        <v>3500</v>
      </c>
      <c r="J46" t="str">
        <f>PROPER(TRIM('Raw Data'!J46))</f>
        <v>Abuja</v>
      </c>
      <c r="K46" t="str">
        <f>PROPER(TRIM('Raw Data'!K46))</f>
        <v>Chinedu</v>
      </c>
      <c r="L46" t="str">
        <f>UPPER(TRIM('Raw Data'!L46))</f>
        <v>CARD</v>
      </c>
      <c r="M46" t="str">
        <f>PROPER(TRIM('Raw Data'!M46))</f>
        <v>Pending</v>
      </c>
    </row>
    <row r="47" spans="1:13" ht="21" x14ac:dyDescent="0.5">
      <c r="A47" t="str">
        <f>PROPER(TRIM('Raw Data'!A47))</f>
        <v>Txn046</v>
      </c>
      <c r="B47" s="3">
        <v>46252</v>
      </c>
      <c r="C47" t="str">
        <f>TRIM('Raw Data'!C47)</f>
        <v>C003</v>
      </c>
      <c r="D47" t="str">
        <f>PROPER(TRIM('Raw Data'!D47))</f>
        <v>Grace Adeyemi</v>
      </c>
      <c r="E47" t="str">
        <f>TRIM('Raw Data'!E47)</f>
        <v>P003</v>
      </c>
      <c r="F47" t="str">
        <f>PROPER(TRIM('Raw Data'!F47))</f>
        <v>Peak Milk</v>
      </c>
      <c r="G47" t="str">
        <f>PROPER(TRIM('Raw Data'!G47))</f>
        <v>Groceries</v>
      </c>
      <c r="H47" s="5" t="str">
        <f>TRIM('Raw Data'!H47)</f>
        <v>7</v>
      </c>
      <c r="I47">
        <f>VALUE('Raw Data'!I47)</f>
        <v>3200</v>
      </c>
      <c r="J47" t="str">
        <f>PROPER(TRIM('Raw Data'!J47))</f>
        <v>Abuja</v>
      </c>
      <c r="K47" t="str">
        <f>PROPER(TRIM('Raw Data'!K47))</f>
        <v>Kemi</v>
      </c>
      <c r="L47" t="str">
        <f>UPPER(TRIM('Raw Data'!L47))</f>
        <v>TRANSFER</v>
      </c>
      <c r="M47" t="str">
        <f>PROPER(TRIM('Raw Data'!M47))</f>
        <v>Paid</v>
      </c>
    </row>
    <row r="48" spans="1:13" ht="21" x14ac:dyDescent="0.5">
      <c r="A48" t="str">
        <f>PROPER(TRIM('Raw Data'!A48))</f>
        <v>Txn047</v>
      </c>
      <c r="B48" s="3">
        <v>46253</v>
      </c>
      <c r="C48" t="str">
        <f>TRIM('Raw Data'!C48)</f>
        <v>C010</v>
      </c>
      <c r="D48" t="str">
        <f>PROPER(TRIM('Raw Data'!D48))</f>
        <v>Peter James</v>
      </c>
      <c r="E48" t="str">
        <f>TRIM('Raw Data'!E48)</f>
        <v>P006</v>
      </c>
      <c r="F48" t="str">
        <f>PROPER(TRIM('Raw Data'!F48))</f>
        <v>Malt Drink</v>
      </c>
      <c r="G48" t="str">
        <f>PROPER(TRIM('Raw Data'!G48))</f>
        <v>Beverages</v>
      </c>
      <c r="H48" s="5" t="str">
        <f>TRIM('Raw Data'!H48)</f>
        <v>8</v>
      </c>
      <c r="I48">
        <f>VALUE('Raw Data'!I48)</f>
        <v>1200</v>
      </c>
      <c r="J48" t="str">
        <f>PROPER(TRIM('Raw Data'!J48))</f>
        <v>Abuja</v>
      </c>
      <c r="K48" t="str">
        <f>PROPER(TRIM('Raw Data'!K48))</f>
        <v>Tolu</v>
      </c>
      <c r="L48" t="str">
        <f>UPPER(TRIM('Raw Data'!L48))</f>
        <v>POS</v>
      </c>
      <c r="M48" t="str">
        <f>PROPER(TRIM('Raw Data'!M48))</f>
        <v>Paid</v>
      </c>
    </row>
    <row r="49" spans="1:13" ht="21" x14ac:dyDescent="0.5">
      <c r="A49" t="str">
        <f>PROPER(TRIM('Raw Data'!A49))</f>
        <v>Txn048</v>
      </c>
      <c r="B49" s="3">
        <v>46254</v>
      </c>
      <c r="C49" t="str">
        <f>TRIM('Raw Data'!C49)</f>
        <v>C007</v>
      </c>
      <c r="D49" t="str">
        <f>PROPER(TRIM('Raw Data'!D49))</f>
        <v>Miriam Balogun</v>
      </c>
      <c r="E49" t="str">
        <f>TRIM('Raw Data'!E49)</f>
        <v>P001</v>
      </c>
      <c r="F49" t="str">
        <f>PROPER(TRIM('Raw Data'!F49))</f>
        <v>Premium Rice 5Kg</v>
      </c>
      <c r="G49" t="str">
        <f>PROPER(TRIM('Raw Data'!G49))</f>
        <v>Groceries</v>
      </c>
      <c r="H49" s="5" t="str">
        <f>TRIM('Raw Data'!H49)</f>
        <v>1</v>
      </c>
      <c r="I49">
        <f>VALUE('Raw Data'!I49)</f>
        <v>14500</v>
      </c>
      <c r="J49" t="str">
        <f>PROPER(TRIM('Raw Data'!J49))</f>
        <v>Ibadan</v>
      </c>
      <c r="K49" t="str">
        <f>PROPER(TRIM('Raw Data'!K49))</f>
        <v>Amaka</v>
      </c>
      <c r="L49" t="str">
        <f>UPPER(TRIM('Raw Data'!L49))</f>
        <v>CASH</v>
      </c>
      <c r="M49" t="str">
        <f>PROPER(TRIM('Raw Data'!M49))</f>
        <v>Paid</v>
      </c>
    </row>
    <row r="50" spans="1:13" ht="21" x14ac:dyDescent="0.5">
      <c r="A50" t="str">
        <f>PROPER(TRIM('Raw Data'!A50))</f>
        <v>Txn049</v>
      </c>
      <c r="B50" s="3">
        <v>46255</v>
      </c>
      <c r="C50" t="str">
        <f>TRIM('Raw Data'!C50)</f>
        <v>C004</v>
      </c>
      <c r="D50" t="str">
        <f>PROPER(TRIM('Raw Data'!D50))</f>
        <v>Samuel Eze</v>
      </c>
      <c r="E50" t="str">
        <f>TRIM('Raw Data'!E50)</f>
        <v>P004</v>
      </c>
      <c r="F50" t="str">
        <f>PROPER(TRIM('Raw Data'!F50))</f>
        <v>Sliced Bread</v>
      </c>
      <c r="G50" t="str">
        <f>PROPER(TRIM('Raw Data'!G50))</f>
        <v>Bakery</v>
      </c>
      <c r="H50" s="5" t="str">
        <f>TRIM('Raw Data'!H50)</f>
        <v>2</v>
      </c>
      <c r="I50">
        <f>VALUE('Raw Data'!I50)</f>
        <v>2200</v>
      </c>
      <c r="J50" t="str">
        <f>PROPER(TRIM('Raw Data'!J50))</f>
        <v>Enugu</v>
      </c>
      <c r="K50" t="str">
        <f>PROPER(TRIM('Raw Data'!K50))</f>
        <v>Chinedu</v>
      </c>
      <c r="L50" t="str">
        <f>UPPER(TRIM('Raw Data'!L50))</f>
        <v>CARD</v>
      </c>
      <c r="M50" t="str">
        <f>PROPER(TRIM('Raw Data'!M50))</f>
        <v>Paid</v>
      </c>
    </row>
    <row r="51" spans="1:13" ht="21" x14ac:dyDescent="0.5">
      <c r="A51" t="str">
        <f>PROPER(TRIM('Raw Data'!A51))</f>
        <v>Txn050</v>
      </c>
      <c r="B51" s="3">
        <v>46256</v>
      </c>
      <c r="C51" t="str">
        <f>TRIM('Raw Data'!C51)</f>
        <v>C001</v>
      </c>
      <c r="D51" t="str">
        <f>PROPER(TRIM('Raw Data'!D51))</f>
        <v>Aisha Bello</v>
      </c>
      <c r="E51" t="str">
        <f>TRIM('Raw Data'!E51)</f>
        <v>P007</v>
      </c>
      <c r="F51" t="str">
        <f>PROPER(TRIM('Raw Data'!F51))</f>
        <v>Bottled Water</v>
      </c>
      <c r="G51" t="str">
        <f>PROPER(TRIM('Raw Data'!G51))</f>
        <v>Beverages</v>
      </c>
      <c r="H51" s="5" t="str">
        <f>TRIM('Raw Data'!H51)</f>
        <v>3</v>
      </c>
      <c r="I51">
        <f>VALUE('Raw Data'!I51)</f>
        <v>500</v>
      </c>
      <c r="J51" t="str">
        <f>PROPER(TRIM('Raw Data'!J51))</f>
        <v>Lagos</v>
      </c>
      <c r="K51" t="str">
        <f>PROPER(TRIM('Raw Data'!K51))</f>
        <v>Kemi</v>
      </c>
      <c r="L51" t="str">
        <f>UPPER(TRIM('Raw Data'!L51))</f>
        <v>TRANSFER</v>
      </c>
      <c r="M51" t="str">
        <f>PROPER(TRIM('Raw Data'!M51))</f>
        <v>Pending</v>
      </c>
    </row>
    <row r="52" spans="1:13" ht="21" x14ac:dyDescent="0.5">
      <c r="A52" t="str">
        <f>PROPER(TRIM('Raw Data'!A52))</f>
        <v>Txn051</v>
      </c>
      <c r="B52" s="3">
        <v>46257</v>
      </c>
      <c r="C52" t="str">
        <f>TRIM('Raw Data'!C52)</f>
        <v>C008</v>
      </c>
      <c r="D52" t="str">
        <f>PROPER(TRIM('Raw Data'!D52))</f>
        <v>Joseph Adebayo</v>
      </c>
      <c r="E52" t="str">
        <f>TRIM('Raw Data'!E52)</f>
        <v>P002</v>
      </c>
      <c r="F52" t="str">
        <f>PROPER(TRIM('Raw Data'!F52))</f>
        <v>Spaghetti</v>
      </c>
      <c r="G52" t="str">
        <f>PROPER(TRIM('Raw Data'!G52))</f>
        <v>Groceries</v>
      </c>
      <c r="H52" s="5" t="str">
        <f>TRIM('Raw Data'!H52)</f>
        <v>4</v>
      </c>
      <c r="I52">
        <f>VALUE('Raw Data'!I52)</f>
        <v>1800</v>
      </c>
      <c r="J52" t="str">
        <f>PROPER(TRIM('Raw Data'!J52))</f>
        <v>Lagos</v>
      </c>
      <c r="K52" t="str">
        <f>PROPER(TRIM('Raw Data'!K52))</f>
        <v>Tolu</v>
      </c>
      <c r="L52" t="str">
        <f>UPPER(TRIM('Raw Data'!L52))</f>
        <v>POS</v>
      </c>
      <c r="M52" t="str">
        <f>PROPER(TRIM('Raw Data'!M52))</f>
        <v>Paid</v>
      </c>
    </row>
    <row r="53" spans="1:13" ht="21" x14ac:dyDescent="0.5">
      <c r="A53" t="str">
        <f>PROPER(TRIM('Raw Data'!A53))</f>
        <v>Txn052</v>
      </c>
      <c r="B53" s="3">
        <v>46258</v>
      </c>
      <c r="C53" t="str">
        <f>TRIM('Raw Data'!C53)</f>
        <v>C005</v>
      </c>
      <c r="D53" t="str">
        <f>PROPER(TRIM('Raw Data'!D53))</f>
        <v>Esther Johnson</v>
      </c>
      <c r="E53" t="str">
        <f>TRIM('Raw Data'!E53)</f>
        <v>P005</v>
      </c>
      <c r="F53" t="str">
        <f>PROPER(TRIM('Raw Data'!F53))</f>
        <v>Meat Pie</v>
      </c>
      <c r="G53" t="str">
        <f>PROPER(TRIM('Raw Data'!G53))</f>
        <v>Bakery</v>
      </c>
      <c r="H53" s="5" t="str">
        <f>TRIM('Raw Data'!H53)</f>
        <v>5</v>
      </c>
      <c r="I53">
        <f>VALUE('Raw Data'!I53)</f>
        <v>1800</v>
      </c>
      <c r="J53" t="str">
        <f>PROPER(TRIM('Raw Data'!J53))</f>
        <v>Lagos</v>
      </c>
      <c r="K53" t="str">
        <f>PROPER(TRIM('Raw Data'!K53))</f>
        <v>Amaka</v>
      </c>
      <c r="L53" t="str">
        <f>UPPER(TRIM('Raw Data'!L53))</f>
        <v>CASH</v>
      </c>
      <c r="M53" t="str">
        <f>PROPER(TRIM('Raw Data'!M53))</f>
        <v>Paid</v>
      </c>
    </row>
    <row r="54" spans="1:13" ht="21" x14ac:dyDescent="0.5">
      <c r="A54" t="str">
        <f>PROPER(TRIM('Raw Data'!A54))</f>
        <v>Txn053</v>
      </c>
      <c r="B54" s="3">
        <v>46259</v>
      </c>
      <c r="C54" t="str">
        <f>TRIM('Raw Data'!C54)</f>
        <v>C002</v>
      </c>
      <c r="D54" t="str">
        <f>PROPER(TRIM('Raw Data'!D54))</f>
        <v>Daniel Okafor</v>
      </c>
      <c r="E54" t="str">
        <f>TRIM('Raw Data'!E54)</f>
        <v>P008</v>
      </c>
      <c r="F54" t="str">
        <f>PROPER(TRIM('Raw Data'!F54))</f>
        <v>Liquid Soap</v>
      </c>
      <c r="G54" t="str">
        <f>PROPER(TRIM('Raw Data'!G54))</f>
        <v>Household</v>
      </c>
      <c r="H54" s="5" t="str">
        <f>TRIM('Raw Data'!H54)</f>
        <v>6</v>
      </c>
      <c r="I54">
        <f>VALUE('Raw Data'!I54)</f>
        <v>3500</v>
      </c>
      <c r="J54" t="str">
        <f>PROPER(TRIM('Raw Data'!J54))</f>
        <v>Ibadan</v>
      </c>
      <c r="K54" t="str">
        <f>PROPER(TRIM('Raw Data'!K54))</f>
        <v>Chinedu</v>
      </c>
      <c r="L54" t="str">
        <f>UPPER(TRIM('Raw Data'!L54))</f>
        <v>CARD</v>
      </c>
      <c r="M54" t="str">
        <f>PROPER(TRIM('Raw Data'!M54))</f>
        <v>Paid</v>
      </c>
    </row>
    <row r="55" spans="1:13" ht="21" x14ac:dyDescent="0.5">
      <c r="A55" t="str">
        <f>PROPER(TRIM('Raw Data'!A55))</f>
        <v>Txn054</v>
      </c>
      <c r="B55" s="3">
        <v>46260</v>
      </c>
      <c r="C55" t="str">
        <f>TRIM('Raw Data'!C55)</f>
        <v>C009</v>
      </c>
      <c r="D55" t="str">
        <f>PROPER(TRIM('Raw Data'!D55))</f>
        <v>Deborah Obi</v>
      </c>
      <c r="E55" t="str">
        <f>TRIM('Raw Data'!E55)</f>
        <v>P003</v>
      </c>
      <c r="F55" t="str">
        <f>PROPER(TRIM('Raw Data'!F55))</f>
        <v>Peak Milk</v>
      </c>
      <c r="G55" t="str">
        <f>PROPER(TRIM('Raw Data'!G55))</f>
        <v>Groceries</v>
      </c>
      <c r="H55" s="5" t="str">
        <f>TRIM('Raw Data'!H55)</f>
        <v>7</v>
      </c>
      <c r="I55">
        <f>VALUE('Raw Data'!I55)</f>
        <v>3200</v>
      </c>
      <c r="J55" t="str">
        <f>PROPER(TRIM('Raw Data'!J55))</f>
        <v>Enugu</v>
      </c>
      <c r="K55" t="str">
        <f>PROPER(TRIM('Raw Data'!K55))</f>
        <v>Kemi</v>
      </c>
      <c r="L55" t="str">
        <f>UPPER(TRIM('Raw Data'!L55))</f>
        <v>TRANSFER</v>
      </c>
      <c r="M55" t="str">
        <f>PROPER(TRIM('Raw Data'!M55))</f>
        <v>Paid</v>
      </c>
    </row>
    <row r="56" spans="1:13" ht="21" x14ac:dyDescent="0.5">
      <c r="A56" t="str">
        <f>PROPER(TRIM('Raw Data'!A56))</f>
        <v>Txn055</v>
      </c>
      <c r="B56" s="3">
        <v>46261</v>
      </c>
      <c r="C56" t="str">
        <f>TRIM('Raw Data'!C56)</f>
        <v>C006</v>
      </c>
      <c r="D56" t="str">
        <f>PROPER(TRIM('Raw Data'!D56))</f>
        <v>David Yusuf</v>
      </c>
      <c r="E56" t="str">
        <f>TRIM('Raw Data'!E56)</f>
        <v>P006</v>
      </c>
      <c r="F56" t="str">
        <f>PROPER(TRIM('Raw Data'!F56))</f>
        <v>Malt Drink</v>
      </c>
      <c r="G56" t="str">
        <f>PROPER(TRIM('Raw Data'!G56))</f>
        <v>Beverages</v>
      </c>
      <c r="H56" s="5" t="str">
        <f>TRIM('Raw Data'!H56)</f>
        <v>8</v>
      </c>
      <c r="I56">
        <f>VALUE('Raw Data'!I56)</f>
        <v>1200</v>
      </c>
      <c r="J56" t="str">
        <f>PROPER(TRIM('Raw Data'!J56))</f>
        <v>Abuja</v>
      </c>
      <c r="K56" t="str">
        <f>PROPER(TRIM('Raw Data'!K56))</f>
        <v>Tolu</v>
      </c>
      <c r="L56" t="str">
        <f>UPPER(TRIM('Raw Data'!L56))</f>
        <v>POS</v>
      </c>
      <c r="M56" t="str">
        <f>PROPER(TRIM('Raw Data'!M56))</f>
        <v>Pending</v>
      </c>
    </row>
    <row r="57" spans="1:13" ht="21" x14ac:dyDescent="0.5">
      <c r="A57" t="str">
        <f>PROPER(TRIM('Raw Data'!A57))</f>
        <v>Txn056</v>
      </c>
      <c r="B57" s="3">
        <v>46262</v>
      </c>
      <c r="C57" t="str">
        <f>TRIM('Raw Data'!C57)</f>
        <v>C003</v>
      </c>
      <c r="D57" t="str">
        <f>PROPER(TRIM('Raw Data'!D57))</f>
        <v>Grace Adeyemi</v>
      </c>
      <c r="E57" t="str">
        <f>TRIM('Raw Data'!E57)</f>
        <v>P001</v>
      </c>
      <c r="F57" t="str">
        <f>PROPER(TRIM('Raw Data'!F57))</f>
        <v>Premium Rice 5Kg</v>
      </c>
      <c r="G57" t="str">
        <f>PROPER(TRIM('Raw Data'!G57))</f>
        <v>Groceries</v>
      </c>
      <c r="H57" s="5" t="str">
        <f>TRIM('Raw Data'!H57)</f>
        <v>1</v>
      </c>
      <c r="I57">
        <f>VALUE('Raw Data'!I57)</f>
        <v>14500</v>
      </c>
      <c r="J57" t="str">
        <f>PROPER(TRIM('Raw Data'!J57))</f>
        <v>Abuja</v>
      </c>
      <c r="K57" t="str">
        <f>PROPER(TRIM('Raw Data'!K57))</f>
        <v>Amaka</v>
      </c>
      <c r="L57" t="str">
        <f>UPPER(TRIM('Raw Data'!L57))</f>
        <v>CASH</v>
      </c>
      <c r="M57" t="str">
        <f>PROPER(TRIM('Raw Data'!M57))</f>
        <v>Paid</v>
      </c>
    </row>
    <row r="58" spans="1:13" ht="21" x14ac:dyDescent="0.5">
      <c r="A58" t="str">
        <f>PROPER(TRIM('Raw Data'!A58))</f>
        <v>Txn057</v>
      </c>
      <c r="B58" s="3">
        <v>46235</v>
      </c>
      <c r="C58" t="str">
        <f>TRIM('Raw Data'!C58)</f>
        <v>C010</v>
      </c>
      <c r="D58" t="str">
        <f>PROPER(TRIM('Raw Data'!D58))</f>
        <v>Peter James</v>
      </c>
      <c r="E58" t="str">
        <f>TRIM('Raw Data'!E58)</f>
        <v>P004</v>
      </c>
      <c r="F58" t="str">
        <f>PROPER(TRIM('Raw Data'!F58))</f>
        <v>Sliced Bread</v>
      </c>
      <c r="G58" t="str">
        <f>PROPER(TRIM('Raw Data'!G58))</f>
        <v>Bakery</v>
      </c>
      <c r="H58" s="5" t="str">
        <f>TRIM('Raw Data'!H58)</f>
        <v>2</v>
      </c>
      <c r="I58">
        <f>VALUE('Raw Data'!I58)</f>
        <v>2200</v>
      </c>
      <c r="J58" t="str">
        <f>PROPER(TRIM('Raw Data'!J58))</f>
        <v>Abuja</v>
      </c>
      <c r="K58" t="str">
        <f>PROPER(TRIM('Raw Data'!K58))</f>
        <v>Chinedu</v>
      </c>
      <c r="L58" t="str">
        <f>UPPER(TRIM('Raw Data'!L58))</f>
        <v>CARD</v>
      </c>
      <c r="M58" t="str">
        <f>PROPER(TRIM('Raw Data'!M58))</f>
        <v>Paid</v>
      </c>
    </row>
    <row r="59" spans="1:13" ht="21" x14ac:dyDescent="0.5">
      <c r="A59" t="str">
        <f>PROPER(TRIM('Raw Data'!A59))</f>
        <v>Txn058</v>
      </c>
      <c r="B59" s="3">
        <v>46236</v>
      </c>
      <c r="C59" t="str">
        <f>TRIM('Raw Data'!C59)</f>
        <v>C007</v>
      </c>
      <c r="D59" t="str">
        <f>PROPER(TRIM('Raw Data'!D59))</f>
        <v/>
      </c>
      <c r="E59" t="str">
        <f>TRIM('Raw Data'!E59)</f>
        <v>P007</v>
      </c>
      <c r="F59" t="str">
        <f>PROPER(TRIM('Raw Data'!F59))</f>
        <v>Bottled Water</v>
      </c>
      <c r="G59" t="str">
        <f>PROPER(TRIM('Raw Data'!G59))</f>
        <v>Beverages</v>
      </c>
      <c r="H59" s="5" t="str">
        <f>TRIM('Raw Data'!H59)</f>
        <v>3</v>
      </c>
      <c r="I59">
        <f>VALUE('Raw Data'!I59)</f>
        <v>500</v>
      </c>
      <c r="J59" t="str">
        <f>PROPER(TRIM('Raw Data'!J59))</f>
        <v>Ibadan</v>
      </c>
      <c r="K59" t="str">
        <f>PROPER(TRIM('Raw Data'!K59))</f>
        <v>Kemi</v>
      </c>
      <c r="L59" t="str">
        <f>UPPER(TRIM('Raw Data'!L59))</f>
        <v>TRANSFER</v>
      </c>
      <c r="M59" t="str">
        <f>PROPER(TRIM('Raw Data'!M59))</f>
        <v>Paid</v>
      </c>
    </row>
    <row r="60" spans="1:13" ht="21" x14ac:dyDescent="0.5">
      <c r="A60" t="str">
        <f>PROPER(TRIM('Raw Data'!A60))</f>
        <v>Txn059</v>
      </c>
      <c r="B60" s="3">
        <v>46237</v>
      </c>
      <c r="C60" t="str">
        <f>TRIM('Raw Data'!C60)</f>
        <v>C004</v>
      </c>
      <c r="D60" t="str">
        <f>PROPER(TRIM('Raw Data'!D60))</f>
        <v>Samuel Eze</v>
      </c>
      <c r="E60" t="str">
        <f>TRIM('Raw Data'!E60)</f>
        <v>P002</v>
      </c>
      <c r="F60" t="str">
        <f>PROPER(TRIM('Raw Data'!F60))</f>
        <v>Spaghetti</v>
      </c>
      <c r="G60" t="str">
        <f>PROPER(TRIM('Raw Data'!G60))</f>
        <v>Groceries</v>
      </c>
      <c r="H60" s="5" t="str">
        <f>TRIM('Raw Data'!H60)</f>
        <v>4</v>
      </c>
      <c r="I60">
        <f>VALUE('Raw Data'!I60)</f>
        <v>1800</v>
      </c>
      <c r="J60" t="str">
        <f>PROPER(TRIM('Raw Data'!J60))</f>
        <v>Enugu</v>
      </c>
      <c r="K60" t="str">
        <f>PROPER(TRIM('Raw Data'!K60))</f>
        <v>Tolu</v>
      </c>
      <c r="L60" t="str">
        <f>UPPER(TRIM('Raw Data'!L60))</f>
        <v>POS</v>
      </c>
      <c r="M60" t="str">
        <f>PROPER(TRIM('Raw Data'!M60))</f>
        <v>Paid</v>
      </c>
    </row>
    <row r="61" spans="1:13" ht="21" x14ac:dyDescent="0.5">
      <c r="A61" t="str">
        <f>PROPER(TRIM('Raw Data'!A61))</f>
        <v>Txn060</v>
      </c>
      <c r="B61" s="3">
        <v>46238</v>
      </c>
      <c r="C61" t="str">
        <f>TRIM('Raw Data'!C61)</f>
        <v>C001</v>
      </c>
      <c r="D61" t="str">
        <f>PROPER(TRIM('Raw Data'!D61))</f>
        <v>Aisha Bello</v>
      </c>
      <c r="E61" t="str">
        <f>TRIM('Raw Data'!E61)</f>
        <v>P005</v>
      </c>
      <c r="F61" t="str">
        <f>PROPER(TRIM('Raw Data'!F61))</f>
        <v>Meat Pie</v>
      </c>
      <c r="G61" t="str">
        <f>PROPER(TRIM('Raw Data'!G61))</f>
        <v>Bakery</v>
      </c>
      <c r="H61" s="5" t="str">
        <f>TRIM('Raw Data'!H61)</f>
        <v>5</v>
      </c>
      <c r="I61">
        <f>VALUE('Raw Data'!I61)</f>
        <v>1800</v>
      </c>
      <c r="J61" t="str">
        <f>PROPER(TRIM('Raw Data'!J61))</f>
        <v>Lagos</v>
      </c>
      <c r="K61" t="str">
        <f>PROPER(TRIM('Raw Data'!K61))</f>
        <v>Amaka</v>
      </c>
      <c r="L61" t="str">
        <f>UPPER(TRIM('Raw Data'!L61))</f>
        <v>CASH</v>
      </c>
      <c r="M61" t="str">
        <f>PROPER(TRIM('Raw Data'!M61))</f>
        <v>Pending</v>
      </c>
    </row>
    <row r="62" spans="1:13" ht="21" x14ac:dyDescent="0.5">
      <c r="A62" t="str">
        <f>PROPER(TRIM('Raw Data'!A62))</f>
        <v>Txn061</v>
      </c>
      <c r="B62" s="3">
        <v>46239</v>
      </c>
      <c r="C62" t="str">
        <f>TRIM('Raw Data'!C62)</f>
        <v>C008</v>
      </c>
      <c r="D62" t="str">
        <f>PROPER(TRIM('Raw Data'!D62))</f>
        <v>Joseph Adebayo</v>
      </c>
      <c r="E62" t="str">
        <f>TRIM('Raw Data'!E62)</f>
        <v>P008</v>
      </c>
      <c r="F62" t="str">
        <f>PROPER(TRIM('Raw Data'!F62))</f>
        <v>Liquid Soap</v>
      </c>
      <c r="G62" t="str">
        <f>PROPER(TRIM('Raw Data'!G62))</f>
        <v>Household</v>
      </c>
      <c r="H62" s="5" t="str">
        <f>TRIM('Raw Data'!H62)</f>
        <v>6</v>
      </c>
      <c r="I62">
        <f>VALUE('Raw Data'!I62)</f>
        <v>3500</v>
      </c>
      <c r="J62" t="str">
        <f>PROPER(TRIM('Raw Data'!J62))</f>
        <v>Lagos</v>
      </c>
      <c r="K62" t="str">
        <f>PROPER(TRIM('Raw Data'!K62))</f>
        <v>Chinedu</v>
      </c>
      <c r="L62" t="str">
        <f>UPPER(TRIM('Raw Data'!L62))</f>
        <v>CARD</v>
      </c>
      <c r="M62" t="str">
        <f>PROPER(TRIM('Raw Data'!M62))</f>
        <v>Paid</v>
      </c>
    </row>
    <row r="63" spans="1:13" ht="21" x14ac:dyDescent="0.5">
      <c r="A63" t="str">
        <f>PROPER(TRIM('Raw Data'!A63))</f>
        <v>Txn062</v>
      </c>
      <c r="B63" s="3">
        <v>46240</v>
      </c>
      <c r="C63" t="str">
        <f>TRIM('Raw Data'!C63)</f>
        <v>C005</v>
      </c>
      <c r="D63" t="str">
        <f>PROPER(TRIM('Raw Data'!D63))</f>
        <v>Esther Johnson</v>
      </c>
      <c r="E63" t="str">
        <f>TRIM('Raw Data'!E63)</f>
        <v>P003</v>
      </c>
      <c r="F63" t="str">
        <f>PROPER(TRIM('Raw Data'!F63))</f>
        <v>Peak Milk</v>
      </c>
      <c r="G63" t="str">
        <f>PROPER(TRIM('Raw Data'!G63))</f>
        <v>Groceries</v>
      </c>
      <c r="H63" s="5" t="str">
        <f>TRIM('Raw Data'!H63)</f>
        <v>7</v>
      </c>
      <c r="I63">
        <f>VALUE('Raw Data'!I63)</f>
        <v>3200</v>
      </c>
      <c r="J63" t="str">
        <f>PROPER(TRIM('Raw Data'!J63))</f>
        <v>Lagos</v>
      </c>
      <c r="K63" t="str">
        <f>PROPER(TRIM('Raw Data'!K63))</f>
        <v>Kemi</v>
      </c>
      <c r="L63" t="str">
        <f>UPPER(TRIM('Raw Data'!L63))</f>
        <v>TRANSFER</v>
      </c>
      <c r="M63" t="str">
        <f>PROPER(TRIM('Raw Data'!M63))</f>
        <v>Paid</v>
      </c>
    </row>
    <row r="64" spans="1:13" ht="21" x14ac:dyDescent="0.5">
      <c r="A64" t="str">
        <f>PROPER(TRIM('Raw Data'!A64))</f>
        <v>Txn063</v>
      </c>
      <c r="B64" s="3">
        <v>46241</v>
      </c>
      <c r="C64" t="str">
        <f>TRIM('Raw Data'!C64)</f>
        <v>C002</v>
      </c>
      <c r="D64" t="str">
        <f>PROPER(TRIM('Raw Data'!D64))</f>
        <v>Daniel Okafor</v>
      </c>
      <c r="E64" t="str">
        <f>TRIM('Raw Data'!E64)</f>
        <v>P006</v>
      </c>
      <c r="F64" t="str">
        <f>PROPER(TRIM('Raw Data'!F64))</f>
        <v>Malt Drink</v>
      </c>
      <c r="G64" t="str">
        <f>PROPER(TRIM('Raw Data'!G64))</f>
        <v>Beverages</v>
      </c>
      <c r="H64" s="5" t="str">
        <f>TRIM('Raw Data'!H64)</f>
        <v>8</v>
      </c>
      <c r="I64">
        <f>VALUE('Raw Data'!I64)</f>
        <v>1200</v>
      </c>
      <c r="J64" t="str">
        <f>PROPER(TRIM('Raw Data'!J64))</f>
        <v>Ibadan</v>
      </c>
      <c r="K64" t="str">
        <f>PROPER(TRIM('Raw Data'!K64))</f>
        <v>Tolu</v>
      </c>
      <c r="L64" t="str">
        <f>UPPER(TRIM('Raw Data'!L64))</f>
        <v>POS</v>
      </c>
      <c r="M64" t="str">
        <f>PROPER(TRIM('Raw Data'!M64))</f>
        <v>Paid</v>
      </c>
    </row>
    <row r="65" spans="1:13" ht="21" x14ac:dyDescent="0.5">
      <c r="A65" t="str">
        <f>PROPER(TRIM('Raw Data'!A65))</f>
        <v>Txn064</v>
      </c>
      <c r="B65" s="3">
        <v>46242</v>
      </c>
      <c r="C65" t="str">
        <f>TRIM('Raw Data'!C65)</f>
        <v>C009</v>
      </c>
      <c r="D65" t="str">
        <f>PROPER(TRIM('Raw Data'!D65))</f>
        <v>Deborah Obi</v>
      </c>
      <c r="E65" t="str">
        <f>TRIM('Raw Data'!E65)</f>
        <v>P001</v>
      </c>
      <c r="F65" t="str">
        <f>PROPER(TRIM('Raw Data'!F65))</f>
        <v>Premium Rice 5Kg</v>
      </c>
      <c r="G65" t="str">
        <f>PROPER(TRIM('Raw Data'!G65))</f>
        <v>Groceries</v>
      </c>
      <c r="H65" s="5" t="str">
        <f>TRIM('Raw Data'!H65)</f>
        <v>1</v>
      </c>
      <c r="I65">
        <f>VALUE('Raw Data'!I65)</f>
        <v>14500</v>
      </c>
      <c r="J65" t="str">
        <f>PROPER(TRIM('Raw Data'!J65))</f>
        <v>Enugu</v>
      </c>
      <c r="K65" t="str">
        <f>PROPER(TRIM('Raw Data'!K65))</f>
        <v>Amaka</v>
      </c>
      <c r="L65" t="str">
        <f>UPPER(TRIM('Raw Data'!L65))</f>
        <v>CASH</v>
      </c>
      <c r="M65" t="str">
        <f>PROPER(TRIM('Raw Data'!M65))</f>
        <v>Paid</v>
      </c>
    </row>
    <row r="66" spans="1:13" ht="21" x14ac:dyDescent="0.5">
      <c r="A66" t="str">
        <f>PROPER(TRIM('Raw Data'!A66))</f>
        <v>Txn065</v>
      </c>
      <c r="B66" s="3">
        <v>46243</v>
      </c>
      <c r="C66" t="str">
        <f>TRIM('Raw Data'!C66)</f>
        <v>C006</v>
      </c>
      <c r="D66" t="str">
        <f>PROPER(TRIM('Raw Data'!D66))</f>
        <v>David Yusuf</v>
      </c>
      <c r="E66" t="str">
        <f>TRIM('Raw Data'!E66)</f>
        <v>P004</v>
      </c>
      <c r="F66" t="str">
        <f>PROPER(TRIM('Raw Data'!F66))</f>
        <v>Sliced Bread</v>
      </c>
      <c r="G66" t="str">
        <f>PROPER(TRIM('Raw Data'!G66))</f>
        <v>Bakery</v>
      </c>
      <c r="H66" s="5" t="str">
        <f>TRIM('Raw Data'!H66)</f>
        <v>2</v>
      </c>
      <c r="I66">
        <f>VALUE('Raw Data'!I66)</f>
        <v>2200</v>
      </c>
      <c r="J66" t="str">
        <f>PROPER(TRIM('Raw Data'!J66))</f>
        <v>Abuja</v>
      </c>
      <c r="K66" t="str">
        <f>PROPER(TRIM('Raw Data'!K66))</f>
        <v>Chinedu</v>
      </c>
      <c r="L66" t="str">
        <f>UPPER(TRIM('Raw Data'!L66))</f>
        <v>CARD</v>
      </c>
      <c r="M66" t="str">
        <f>PROPER(TRIM('Raw Data'!M66))</f>
        <v>Pending</v>
      </c>
    </row>
    <row r="67" spans="1:13" ht="21" x14ac:dyDescent="0.5">
      <c r="A67" t="str">
        <f>PROPER(TRIM('Raw Data'!A67))</f>
        <v>Txn066</v>
      </c>
      <c r="B67" s="3">
        <v>46244</v>
      </c>
      <c r="C67" t="str">
        <f>TRIM('Raw Data'!C67)</f>
        <v>C003</v>
      </c>
      <c r="D67" t="str">
        <f>PROPER(TRIM('Raw Data'!D67))</f>
        <v>Grace Adeyemi</v>
      </c>
      <c r="E67" t="str">
        <f>TRIM('Raw Data'!E67)</f>
        <v>P007</v>
      </c>
      <c r="F67" t="str">
        <f>PROPER(TRIM('Raw Data'!F67))</f>
        <v>Bottled Water</v>
      </c>
      <c r="G67" t="str">
        <f>PROPER(TRIM('Raw Data'!G67))</f>
        <v>Beverages</v>
      </c>
      <c r="H67" s="5" t="str">
        <f>TRIM('Raw Data'!H67)</f>
        <v>3</v>
      </c>
      <c r="I67">
        <f>VALUE('Raw Data'!I67)</f>
        <v>500</v>
      </c>
      <c r="J67" t="str">
        <f>PROPER(TRIM('Raw Data'!J67))</f>
        <v>Abuja</v>
      </c>
      <c r="K67" t="str">
        <f>PROPER(TRIM('Raw Data'!K67))</f>
        <v>Kemi</v>
      </c>
      <c r="L67" t="str">
        <f>UPPER(TRIM('Raw Data'!L67))</f>
        <v>TRANSFER</v>
      </c>
      <c r="M67" t="str">
        <f>PROPER(TRIM('Raw Data'!M67))</f>
        <v>Paid</v>
      </c>
    </row>
    <row r="68" spans="1:13" ht="21" x14ac:dyDescent="0.5">
      <c r="A68" t="str">
        <f>PROPER(TRIM('Raw Data'!A68))</f>
        <v>Txn067</v>
      </c>
      <c r="B68" s="3">
        <v>46245</v>
      </c>
      <c r="C68" t="str">
        <f>TRIM('Raw Data'!C68)</f>
        <v>C010</v>
      </c>
      <c r="D68" t="str">
        <f>PROPER(TRIM('Raw Data'!D68))</f>
        <v>Peter James</v>
      </c>
      <c r="E68" t="str">
        <f>TRIM('Raw Data'!E68)</f>
        <v>P002</v>
      </c>
      <c r="F68" t="str">
        <f>PROPER(TRIM('Raw Data'!F68))</f>
        <v>Spaghetti</v>
      </c>
      <c r="G68" t="str">
        <f>PROPER(TRIM('Raw Data'!G68))</f>
        <v>Groceries</v>
      </c>
      <c r="H68" s="5" t="str">
        <f>TRIM('Raw Data'!H68)</f>
        <v>4</v>
      </c>
      <c r="I68">
        <f>VALUE('Raw Data'!I68)</f>
        <v>1800</v>
      </c>
      <c r="J68" t="str">
        <f>PROPER(TRIM('Raw Data'!J68))</f>
        <v>Abuja</v>
      </c>
      <c r="K68" t="str">
        <f>PROPER(TRIM('Raw Data'!K68))</f>
        <v>Tolu</v>
      </c>
      <c r="L68" t="str">
        <f>UPPER(TRIM('Raw Data'!L68))</f>
        <v>POS</v>
      </c>
      <c r="M68" t="str">
        <f>PROPER(TRIM('Raw Data'!M68))</f>
        <v>Paid</v>
      </c>
    </row>
    <row r="69" spans="1:13" ht="21" x14ac:dyDescent="0.5">
      <c r="A69" t="str">
        <f>PROPER(TRIM('Raw Data'!A69))</f>
        <v>Txn068</v>
      </c>
      <c r="B69" s="3">
        <v>46246</v>
      </c>
      <c r="C69" t="str">
        <f>TRIM('Raw Data'!C69)</f>
        <v>C007</v>
      </c>
      <c r="D69" t="str">
        <f>PROPER(TRIM('Raw Data'!D69))</f>
        <v>Miriam Balogun</v>
      </c>
      <c r="E69" t="str">
        <f>TRIM('Raw Data'!E69)</f>
        <v>P005</v>
      </c>
      <c r="F69" t="str">
        <f>PROPER(TRIM('Raw Data'!F69))</f>
        <v>Meat Pie</v>
      </c>
      <c r="G69" t="str">
        <f>PROPER(TRIM('Raw Data'!G69))</f>
        <v>Bakery</v>
      </c>
      <c r="H69" s="5" t="str">
        <f>TRIM('Raw Data'!H69)</f>
        <v>5</v>
      </c>
      <c r="I69">
        <f>VALUE('Raw Data'!I69)</f>
        <v>1800</v>
      </c>
      <c r="J69" t="str">
        <f>PROPER(TRIM('Raw Data'!J69))</f>
        <v>Ibadan</v>
      </c>
      <c r="K69" t="str">
        <f>PROPER(TRIM('Raw Data'!K69))</f>
        <v>Amaka</v>
      </c>
      <c r="L69" t="str">
        <f>UPPER(TRIM('Raw Data'!L69))</f>
        <v>CASH</v>
      </c>
      <c r="M69" t="str">
        <f>PROPER(TRIM('Raw Data'!M69))</f>
        <v>Paid</v>
      </c>
    </row>
    <row r="70" spans="1:13" ht="21" x14ac:dyDescent="0.5">
      <c r="A70" t="str">
        <f>PROPER(TRIM('Raw Data'!A70))</f>
        <v>Txn069</v>
      </c>
      <c r="B70" s="3">
        <v>46247</v>
      </c>
      <c r="C70" t="str">
        <f>TRIM('Raw Data'!C70)</f>
        <v>C004</v>
      </c>
      <c r="D70" t="str">
        <f>PROPER(TRIM('Raw Data'!D70))</f>
        <v>Samuel Eze</v>
      </c>
      <c r="E70" t="str">
        <f>TRIM('Raw Data'!E70)</f>
        <v>P008</v>
      </c>
      <c r="F70" t="str">
        <f>PROPER(TRIM('Raw Data'!F70))</f>
        <v>Liquid Soap</v>
      </c>
      <c r="G70" t="str">
        <f>PROPER(TRIM('Raw Data'!G70))</f>
        <v>Household</v>
      </c>
      <c r="H70" s="5" t="str">
        <f>TRIM('Raw Data'!H70)</f>
        <v>6</v>
      </c>
      <c r="I70">
        <f>VALUE('Raw Data'!I70)</f>
        <v>3500</v>
      </c>
      <c r="J70" t="str">
        <f>PROPER(TRIM('Raw Data'!J70))</f>
        <v>Enugu</v>
      </c>
      <c r="K70" t="str">
        <f>PROPER(TRIM('Raw Data'!K70))</f>
        <v>Chinedu</v>
      </c>
      <c r="L70" t="str">
        <f>UPPER(TRIM('Raw Data'!L70))</f>
        <v>CARD</v>
      </c>
      <c r="M70" t="str">
        <f>PROPER(TRIM('Raw Data'!M70))</f>
        <v>Paid</v>
      </c>
    </row>
    <row r="71" spans="1:13" ht="21" x14ac:dyDescent="0.5">
      <c r="A71" t="str">
        <f>PROPER(TRIM('Raw Data'!A71))</f>
        <v>Txn070</v>
      </c>
      <c r="B71" s="3">
        <v>46248</v>
      </c>
      <c r="C71" t="str">
        <f>TRIM('Raw Data'!C71)</f>
        <v>C001</v>
      </c>
      <c r="D71" t="str">
        <f>PROPER(TRIM('Raw Data'!D71))</f>
        <v>Aisha Bello</v>
      </c>
      <c r="E71" t="str">
        <f>TRIM('Raw Data'!E71)</f>
        <v>P003</v>
      </c>
      <c r="F71" t="str">
        <f>PROPER(TRIM('Raw Data'!F71))</f>
        <v>Peak Milk</v>
      </c>
      <c r="G71" t="str">
        <f>PROPER(TRIM('Raw Data'!G71))</f>
        <v>Groceries</v>
      </c>
      <c r="H71" s="5" t="str">
        <f>TRIM('Raw Data'!H71)</f>
        <v>7</v>
      </c>
      <c r="I71">
        <f>VALUE('Raw Data'!I71)</f>
        <v>3200</v>
      </c>
      <c r="J71" t="str">
        <f>PROPER(TRIM('Raw Data'!J71))</f>
        <v>Lagos</v>
      </c>
      <c r="K71" t="str">
        <f>PROPER(TRIM('Raw Data'!K71))</f>
        <v>Kemi</v>
      </c>
      <c r="L71" t="str">
        <f>UPPER(TRIM('Raw Data'!L71))</f>
        <v>TRANSFER</v>
      </c>
      <c r="M71" t="str">
        <f>PROPER(TRIM('Raw Data'!M71))</f>
        <v>Pending</v>
      </c>
    </row>
    <row r="72" spans="1:13" ht="21" x14ac:dyDescent="0.5">
      <c r="A72" t="str">
        <f>PROPER(TRIM('Raw Data'!A72))</f>
        <v>Txn071</v>
      </c>
      <c r="B72" s="3">
        <v>46249</v>
      </c>
      <c r="C72" t="str">
        <f>TRIM('Raw Data'!C72)</f>
        <v>C008</v>
      </c>
      <c r="D72" t="str">
        <f>PROPER(TRIM('Raw Data'!D72))</f>
        <v>Joseph Adebayo</v>
      </c>
      <c r="E72" t="str">
        <f>TRIM('Raw Data'!E72)</f>
        <v>P006</v>
      </c>
      <c r="F72" t="str">
        <f>PROPER(TRIM('Raw Data'!F72))</f>
        <v>Malt Drink</v>
      </c>
      <c r="G72" t="str">
        <f>PROPER(TRIM('Raw Data'!G72))</f>
        <v>Beverages</v>
      </c>
      <c r="H72" s="5" t="str">
        <f>TRIM('Raw Data'!H72)</f>
        <v>8</v>
      </c>
      <c r="I72">
        <f>VALUE('Raw Data'!I72)</f>
        <v>1200</v>
      </c>
      <c r="J72" t="str">
        <f>PROPER(TRIM('Raw Data'!J72))</f>
        <v>Lagos</v>
      </c>
      <c r="K72" t="str">
        <f>PROPER(TRIM('Raw Data'!K72))</f>
        <v>Tolu</v>
      </c>
      <c r="L72" t="str">
        <f>UPPER(TRIM('Raw Data'!L72))</f>
        <v>POS</v>
      </c>
      <c r="M72" t="str">
        <f>PROPER(TRIM('Raw Data'!M72))</f>
        <v>Paid</v>
      </c>
    </row>
    <row r="73" spans="1:13" ht="21" x14ac:dyDescent="0.5">
      <c r="A73" t="str">
        <f>PROPER(TRIM('Raw Data'!A73))</f>
        <v>Txn072</v>
      </c>
      <c r="B73" s="3">
        <v>46250</v>
      </c>
      <c r="C73" t="str">
        <f>TRIM('Raw Data'!C73)</f>
        <v>C005</v>
      </c>
      <c r="D73" t="str">
        <f>PROPER(TRIM('Raw Data'!D73))</f>
        <v>Esther Johnson</v>
      </c>
      <c r="E73" t="str">
        <f>TRIM('Raw Data'!E73)</f>
        <v>P001</v>
      </c>
      <c r="F73" t="str">
        <f>PROPER(TRIM('Raw Data'!F73))</f>
        <v>Premium Rice 5Kg</v>
      </c>
      <c r="G73" t="str">
        <f>PROPER(TRIM('Raw Data'!G73))</f>
        <v>Groceries</v>
      </c>
      <c r="H73" s="5" t="str">
        <f>TRIM('Raw Data'!H73)</f>
        <v>1</v>
      </c>
      <c r="I73">
        <f>VALUE('Raw Data'!I73)</f>
        <v>14500</v>
      </c>
      <c r="J73" t="str">
        <f>PROPER(TRIM('Raw Data'!J73))</f>
        <v>Lagos</v>
      </c>
      <c r="K73" t="str">
        <f>PROPER(TRIM('Raw Data'!K73))</f>
        <v>Amaka</v>
      </c>
      <c r="L73" t="str">
        <f>UPPER(TRIM('Raw Data'!L73))</f>
        <v>CASH</v>
      </c>
      <c r="M73" t="str">
        <f>PROPER(TRIM('Raw Data'!M73))</f>
        <v>Paid</v>
      </c>
    </row>
    <row r="74" spans="1:13" ht="21" x14ac:dyDescent="0.5">
      <c r="A74" t="str">
        <f>PROPER(TRIM('Raw Data'!A74))</f>
        <v>Txn073</v>
      </c>
      <c r="B74" s="3">
        <v>46251</v>
      </c>
      <c r="C74" t="str">
        <f>TRIM('Raw Data'!C74)</f>
        <v>C002</v>
      </c>
      <c r="D74" t="str">
        <f>PROPER(TRIM('Raw Data'!D74))</f>
        <v>Daniel Okafor</v>
      </c>
      <c r="E74" t="str">
        <f>TRIM('Raw Data'!E74)</f>
        <v>P004</v>
      </c>
      <c r="F74" t="str">
        <f>PROPER(TRIM('Raw Data'!F74))</f>
        <v>Sliced Bread</v>
      </c>
      <c r="G74" t="str">
        <f>PROPER(TRIM('Raw Data'!G74))</f>
        <v>Bakery</v>
      </c>
      <c r="H74" s="5" t="str">
        <f>TRIM('Raw Data'!H74)</f>
        <v>2</v>
      </c>
      <c r="I74">
        <f>VALUE('Raw Data'!I74)</f>
        <v>2200</v>
      </c>
      <c r="J74" t="str">
        <f>PROPER(TRIM('Raw Data'!J74))</f>
        <v/>
      </c>
      <c r="K74" t="str">
        <f>PROPER(TRIM('Raw Data'!K74))</f>
        <v>Chinedu</v>
      </c>
      <c r="L74" t="str">
        <f>UPPER(TRIM('Raw Data'!L74))</f>
        <v>CARD</v>
      </c>
      <c r="M74" t="str">
        <f>PROPER(TRIM('Raw Data'!M74))</f>
        <v>Paid</v>
      </c>
    </row>
    <row r="75" spans="1:13" ht="21" x14ac:dyDescent="0.5">
      <c r="A75" t="str">
        <f>PROPER(TRIM('Raw Data'!A75))</f>
        <v>Txn074</v>
      </c>
      <c r="B75" s="3">
        <v>46252</v>
      </c>
      <c r="C75" t="str">
        <f>TRIM('Raw Data'!C75)</f>
        <v>C009</v>
      </c>
      <c r="D75" t="str">
        <f>PROPER(TRIM('Raw Data'!D75))</f>
        <v>Deborah Obi</v>
      </c>
      <c r="E75" t="str">
        <f>TRIM('Raw Data'!E75)</f>
        <v>P007</v>
      </c>
      <c r="F75" t="str">
        <f>PROPER(TRIM('Raw Data'!F75))</f>
        <v>Bottled Water</v>
      </c>
      <c r="G75" t="str">
        <f>PROPER(TRIM('Raw Data'!G75))</f>
        <v>Beverages</v>
      </c>
      <c r="H75" s="5" t="str">
        <f>TRIM('Raw Data'!H75)</f>
        <v>3</v>
      </c>
      <c r="I75">
        <f>VALUE('Raw Data'!I75)</f>
        <v>500</v>
      </c>
      <c r="J75" t="str">
        <f>PROPER(TRIM('Raw Data'!J75))</f>
        <v>Enugu</v>
      </c>
      <c r="K75" t="str">
        <f>PROPER(TRIM('Raw Data'!K75))</f>
        <v>Kemi</v>
      </c>
      <c r="L75" t="str">
        <f>UPPER(TRIM('Raw Data'!L75))</f>
        <v>TRANSFER</v>
      </c>
      <c r="M75" t="str">
        <f>PROPER(TRIM('Raw Data'!M75))</f>
        <v>Paid</v>
      </c>
    </row>
    <row r="76" spans="1:13" ht="21" x14ac:dyDescent="0.5">
      <c r="A76" t="str">
        <f>PROPER(TRIM('Raw Data'!A76))</f>
        <v>Txn075</v>
      </c>
      <c r="B76" s="3">
        <v>46253</v>
      </c>
      <c r="C76" t="str">
        <f>TRIM('Raw Data'!C76)</f>
        <v>C006</v>
      </c>
      <c r="D76" t="str">
        <f>PROPER(TRIM('Raw Data'!D76))</f>
        <v>David Yusuf</v>
      </c>
      <c r="E76" t="str">
        <f>TRIM('Raw Data'!E76)</f>
        <v>P002</v>
      </c>
      <c r="F76" t="str">
        <f>PROPER(TRIM('Raw Data'!F76))</f>
        <v>Spaghetti</v>
      </c>
      <c r="G76" t="str">
        <f>PROPER(TRIM('Raw Data'!G76))</f>
        <v>Groceries</v>
      </c>
      <c r="H76" s="5" t="str">
        <f>TRIM('Raw Data'!H76)</f>
        <v>4</v>
      </c>
      <c r="I76">
        <f>VALUE('Raw Data'!I76)</f>
        <v>1800</v>
      </c>
      <c r="J76" t="str">
        <f>PROPER(TRIM('Raw Data'!J76))</f>
        <v>Abuja</v>
      </c>
      <c r="K76" t="str">
        <f>PROPER(TRIM('Raw Data'!K76))</f>
        <v>Tolu</v>
      </c>
      <c r="L76" t="str">
        <f>UPPER(TRIM('Raw Data'!L76))</f>
        <v>POS</v>
      </c>
      <c r="M76" t="str">
        <f>PROPER(TRIM('Raw Data'!M76))</f>
        <v>Pending</v>
      </c>
    </row>
    <row r="77" spans="1:13" ht="21" x14ac:dyDescent="0.5">
      <c r="A77" t="str">
        <f>PROPER(TRIM('Raw Data'!A77))</f>
        <v>Txn076</v>
      </c>
      <c r="B77" s="3">
        <v>46254</v>
      </c>
      <c r="C77" t="str">
        <f>TRIM('Raw Data'!C77)</f>
        <v>C003</v>
      </c>
      <c r="D77" t="str">
        <f>PROPER(TRIM('Raw Data'!D77))</f>
        <v>Grace Adeyemi</v>
      </c>
      <c r="E77" t="str">
        <f>TRIM('Raw Data'!E77)</f>
        <v>P005</v>
      </c>
      <c r="F77" t="str">
        <f>PROPER(TRIM('Raw Data'!F77))</f>
        <v>Meat Pie</v>
      </c>
      <c r="G77" t="str">
        <f>PROPER(TRIM('Raw Data'!G77))</f>
        <v>Bakery</v>
      </c>
      <c r="H77" s="5" t="str">
        <f>TRIM('Raw Data'!H77)</f>
        <v>5</v>
      </c>
      <c r="I77">
        <f>VALUE('Raw Data'!I77)</f>
        <v>1800</v>
      </c>
      <c r="J77" t="str">
        <f>PROPER(TRIM('Raw Data'!J77))</f>
        <v>Abuja</v>
      </c>
      <c r="K77" t="str">
        <f>PROPER(TRIM('Raw Data'!K77))</f>
        <v>Amaka</v>
      </c>
      <c r="L77" t="str">
        <f>UPPER(TRIM('Raw Data'!L77))</f>
        <v>CASH</v>
      </c>
      <c r="M77" t="str">
        <f>PROPER(TRIM('Raw Data'!M77))</f>
        <v>Paid</v>
      </c>
    </row>
    <row r="78" spans="1:13" ht="21" x14ac:dyDescent="0.5">
      <c r="A78" t="str">
        <f>PROPER(TRIM('Raw Data'!A78))</f>
        <v>Txn077</v>
      </c>
      <c r="B78" s="3">
        <v>46255</v>
      </c>
      <c r="C78" t="str">
        <f>TRIM('Raw Data'!C78)</f>
        <v>C010</v>
      </c>
      <c r="D78" t="str">
        <f>PROPER(TRIM('Raw Data'!D78))</f>
        <v>Peter James</v>
      </c>
      <c r="E78" t="str">
        <f>TRIM('Raw Data'!E78)</f>
        <v>P008</v>
      </c>
      <c r="F78" t="str">
        <f>PROPER(TRIM('Raw Data'!F78))</f>
        <v>Liquid Soap</v>
      </c>
      <c r="G78" t="str">
        <f>PROPER(TRIM('Raw Data'!G78))</f>
        <v>Household</v>
      </c>
      <c r="H78" s="5" t="str">
        <f>TRIM('Raw Data'!H78)</f>
        <v>6</v>
      </c>
      <c r="I78">
        <f>VALUE('Raw Data'!I78)</f>
        <v>3500</v>
      </c>
      <c r="J78" t="str">
        <f>PROPER(TRIM('Raw Data'!J78))</f>
        <v>Abuja</v>
      </c>
      <c r="K78" t="str">
        <f>PROPER(TRIM('Raw Data'!K78))</f>
        <v>Chinedu</v>
      </c>
      <c r="L78" t="str">
        <f>UPPER(TRIM('Raw Data'!L78))</f>
        <v>CARD</v>
      </c>
      <c r="M78" t="str">
        <f>PROPER(TRIM('Raw Data'!M78))</f>
        <v>Paid</v>
      </c>
    </row>
    <row r="79" spans="1:13" ht="21" x14ac:dyDescent="0.5">
      <c r="A79" t="str">
        <f>PROPER(TRIM('Raw Data'!A79))</f>
        <v>Txn078</v>
      </c>
      <c r="B79" s="3">
        <v>46256</v>
      </c>
      <c r="C79" t="str">
        <f>TRIM('Raw Data'!C79)</f>
        <v>C007</v>
      </c>
      <c r="D79" t="str">
        <f>PROPER(TRIM('Raw Data'!D79))</f>
        <v>Miriam Balogun</v>
      </c>
      <c r="E79" t="str">
        <f>TRIM('Raw Data'!E79)</f>
        <v>P003</v>
      </c>
      <c r="F79" t="str">
        <f>PROPER(TRIM('Raw Data'!F79))</f>
        <v>Peak Milk</v>
      </c>
      <c r="G79" t="str">
        <f>PROPER(TRIM('Raw Data'!G79))</f>
        <v>Groceries</v>
      </c>
      <c r="H79" s="5" t="str">
        <f>TRIM('Raw Data'!H79)</f>
        <v>7</v>
      </c>
      <c r="I79">
        <f>VALUE('Raw Data'!I79)</f>
        <v>3200</v>
      </c>
      <c r="J79" t="str">
        <f>PROPER(TRIM('Raw Data'!J79))</f>
        <v>Ibadan</v>
      </c>
      <c r="K79" t="str">
        <f>PROPER(TRIM('Raw Data'!K79))</f>
        <v>Kemi</v>
      </c>
      <c r="L79" t="str">
        <f>UPPER(TRIM('Raw Data'!L79))</f>
        <v>TRANSFER</v>
      </c>
      <c r="M79" t="str">
        <f>PROPER(TRIM('Raw Data'!M79))</f>
        <v>Paid</v>
      </c>
    </row>
    <row r="80" spans="1:13" ht="21" x14ac:dyDescent="0.5">
      <c r="A80" t="str">
        <f>PROPER(TRIM('Raw Data'!A80))</f>
        <v>Txn079</v>
      </c>
      <c r="B80" s="3">
        <v>46257</v>
      </c>
      <c r="C80" t="str">
        <f>TRIM('Raw Data'!C80)</f>
        <v>C004</v>
      </c>
      <c r="D80" t="str">
        <f>PROPER(TRIM('Raw Data'!D80))</f>
        <v>Samuel Eze</v>
      </c>
      <c r="E80" t="str">
        <f>TRIM('Raw Data'!E80)</f>
        <v>P006</v>
      </c>
      <c r="F80" t="str">
        <f>PROPER(TRIM('Raw Data'!F80))</f>
        <v>Malt Drink</v>
      </c>
      <c r="G80" t="str">
        <f>PROPER(TRIM('Raw Data'!G80))</f>
        <v>Beverages</v>
      </c>
      <c r="H80" s="5" t="str">
        <f>TRIM('Raw Data'!H80)</f>
        <v>8</v>
      </c>
      <c r="I80">
        <f>VALUE('Raw Data'!I80)</f>
        <v>1200</v>
      </c>
      <c r="J80" t="str">
        <f>PROPER(TRIM('Raw Data'!J80))</f>
        <v>Enugu</v>
      </c>
      <c r="K80" t="str">
        <f>PROPER(TRIM('Raw Data'!K80))</f>
        <v>Tolu</v>
      </c>
      <c r="L80" t="str">
        <f>UPPER(TRIM('Raw Data'!L80))</f>
        <v>POS</v>
      </c>
      <c r="M80" t="str">
        <f>PROPER(TRIM('Raw Data'!M80))</f>
        <v>Paid</v>
      </c>
    </row>
    <row r="81" spans="1:13" ht="21" x14ac:dyDescent="0.5">
      <c r="A81" t="str">
        <f>PROPER(TRIM('Raw Data'!A81))</f>
        <v>Txn080</v>
      </c>
      <c r="B81" s="3">
        <v>46258</v>
      </c>
      <c r="C81" t="str">
        <f>TRIM('Raw Data'!C81)</f>
        <v>C001</v>
      </c>
      <c r="D81" t="str">
        <f>PROPER(TRIM('Raw Data'!D81))</f>
        <v>Aisha Bello</v>
      </c>
      <c r="E81" t="str">
        <f>TRIM('Raw Data'!E81)</f>
        <v>P001</v>
      </c>
      <c r="F81" t="str">
        <f>PROPER(TRIM('Raw Data'!F81))</f>
        <v>Premium Rice 5Kg</v>
      </c>
      <c r="G81" t="str">
        <f>PROPER(TRIM('Raw Data'!G81))</f>
        <v>Groceries</v>
      </c>
      <c r="H81" s="5" t="str">
        <f>TRIM('Raw Data'!H81)</f>
        <v>1</v>
      </c>
      <c r="I81">
        <f>VALUE('Raw Data'!I81)</f>
        <v>14500</v>
      </c>
      <c r="J81" t="str">
        <f>PROPER(TRIM('Raw Data'!J81))</f>
        <v>Lagos</v>
      </c>
      <c r="K81" t="str">
        <f>PROPER(TRIM('Raw Data'!K81))</f>
        <v>Amaka</v>
      </c>
      <c r="L81" t="str">
        <f>UPPER(TRIM('Raw Data'!L81))</f>
        <v>CASH</v>
      </c>
      <c r="M81" t="str">
        <f>PROPER(TRIM('Raw Data'!M81))</f>
        <v>Pending</v>
      </c>
    </row>
    <row r="82" spans="1:13" ht="21" x14ac:dyDescent="0.5">
      <c r="A82" t="str">
        <f>PROPER(TRIM('Raw Data'!A82))</f>
        <v>Txn081</v>
      </c>
      <c r="B82" s="3">
        <v>46259</v>
      </c>
      <c r="C82" t="str">
        <f>TRIM('Raw Data'!C82)</f>
        <v>C008</v>
      </c>
      <c r="D82" t="str">
        <f>PROPER(TRIM('Raw Data'!D82))</f>
        <v>Joseph Adebayo</v>
      </c>
      <c r="E82" t="str">
        <f>TRIM('Raw Data'!E82)</f>
        <v>P004</v>
      </c>
      <c r="F82" t="str">
        <f>PROPER(TRIM('Raw Data'!F82))</f>
        <v>Sliced Bread</v>
      </c>
      <c r="G82" t="str">
        <f>PROPER(TRIM('Raw Data'!G82))</f>
        <v>Bakery</v>
      </c>
      <c r="H82" s="5" t="str">
        <f>TRIM('Raw Data'!H82)</f>
        <v>2</v>
      </c>
      <c r="I82">
        <f>VALUE('Raw Data'!I82)</f>
        <v>2200</v>
      </c>
      <c r="J82" t="str">
        <f>PROPER(TRIM('Raw Data'!J82))</f>
        <v>Lagos</v>
      </c>
      <c r="K82" t="str">
        <f>PROPER(TRIM('Raw Data'!K82))</f>
        <v>Chinedu</v>
      </c>
      <c r="L82" t="str">
        <f>UPPER(TRIM('Raw Data'!L82))</f>
        <v>CARD</v>
      </c>
      <c r="M82" t="str">
        <f>PROPER(TRIM('Raw Data'!M82))</f>
        <v>Paid</v>
      </c>
    </row>
    <row r="83" spans="1:13" ht="21" x14ac:dyDescent="0.5">
      <c r="A83" t="str">
        <f>PROPER(TRIM('Raw Data'!A83))</f>
        <v>Txn082</v>
      </c>
      <c r="B83" s="3">
        <v>46260</v>
      </c>
      <c r="C83" t="str">
        <f>TRIM('Raw Data'!C83)</f>
        <v>C005</v>
      </c>
      <c r="D83" t="str">
        <f>PROPER(TRIM('Raw Data'!D83))</f>
        <v>Esther Johnson</v>
      </c>
      <c r="E83" t="str">
        <f>TRIM('Raw Data'!E83)</f>
        <v>P007</v>
      </c>
      <c r="F83" t="str">
        <f>PROPER(TRIM('Raw Data'!F83))</f>
        <v>Bottled Water</v>
      </c>
      <c r="G83" t="str">
        <f>PROPER(TRIM('Raw Data'!G83))</f>
        <v>Beverages</v>
      </c>
      <c r="H83" s="5" t="str">
        <f>TRIM('Raw Data'!H83)</f>
        <v>3</v>
      </c>
      <c r="I83">
        <f>VALUE('Raw Data'!I83)</f>
        <v>500</v>
      </c>
      <c r="J83" t="str">
        <f>PROPER(TRIM('Raw Data'!J83))</f>
        <v>Lagos</v>
      </c>
      <c r="K83" t="str">
        <f>PROPER(TRIM('Raw Data'!K83))</f>
        <v>Kemi</v>
      </c>
      <c r="L83" t="str">
        <f>UPPER(TRIM('Raw Data'!L83))</f>
        <v>TRANSFER</v>
      </c>
      <c r="M83" t="str">
        <f>PROPER(TRIM('Raw Data'!M83))</f>
        <v>Paid</v>
      </c>
    </row>
    <row r="84" spans="1:13" ht="21" x14ac:dyDescent="0.5">
      <c r="A84" t="str">
        <f>PROPER(TRIM('Raw Data'!A84))</f>
        <v>Txn083</v>
      </c>
      <c r="B84" s="3">
        <v>46261</v>
      </c>
      <c r="C84" t="str">
        <f>TRIM('Raw Data'!C84)</f>
        <v>C002</v>
      </c>
      <c r="D84" t="str">
        <f>PROPER(TRIM('Raw Data'!D84))</f>
        <v>Daniel Okafor</v>
      </c>
      <c r="E84" t="str">
        <f>TRIM('Raw Data'!E84)</f>
        <v>P002</v>
      </c>
      <c r="F84" t="str">
        <f>PROPER(TRIM('Raw Data'!F84))</f>
        <v>Spaghetti</v>
      </c>
      <c r="G84" t="str">
        <f>PROPER(TRIM('Raw Data'!G84))</f>
        <v>Groceries</v>
      </c>
      <c r="H84" s="5" t="str">
        <f>TRIM('Raw Data'!H84)</f>
        <v>4</v>
      </c>
      <c r="I84">
        <f>VALUE('Raw Data'!I84)</f>
        <v>1800</v>
      </c>
      <c r="J84" t="str">
        <f>PROPER(TRIM('Raw Data'!J84))</f>
        <v>Ibadan</v>
      </c>
      <c r="K84" t="str">
        <f>PROPER(TRIM('Raw Data'!K84))</f>
        <v>Tolu</v>
      </c>
      <c r="L84" t="str">
        <f>UPPER(TRIM('Raw Data'!L84))</f>
        <v>POS</v>
      </c>
      <c r="M84" t="str">
        <f>PROPER(TRIM('Raw Data'!M84))</f>
        <v>Paid</v>
      </c>
    </row>
    <row r="85" spans="1:13" ht="21" x14ac:dyDescent="0.5">
      <c r="A85" t="str">
        <f>PROPER(TRIM('Raw Data'!A85))</f>
        <v>Txn084</v>
      </c>
      <c r="B85" s="3">
        <v>46262</v>
      </c>
      <c r="C85" t="str">
        <f>TRIM('Raw Data'!C85)</f>
        <v>C009</v>
      </c>
      <c r="D85" t="str">
        <f>PROPER(TRIM('Raw Data'!D85))</f>
        <v>Deborah Obi</v>
      </c>
      <c r="E85" t="str">
        <f>TRIM('Raw Data'!E85)</f>
        <v>P005</v>
      </c>
      <c r="F85" t="str">
        <f>PROPER(TRIM('Raw Data'!F85))</f>
        <v>Meat Pie</v>
      </c>
      <c r="G85" t="str">
        <f>PROPER(TRIM('Raw Data'!G85))</f>
        <v>Bakery</v>
      </c>
      <c r="H85" s="5" t="str">
        <f>TRIM('Raw Data'!H85)</f>
        <v>5</v>
      </c>
      <c r="I85">
        <f>VALUE('Raw Data'!I85)</f>
        <v>1800</v>
      </c>
      <c r="J85" t="str">
        <f>PROPER(TRIM('Raw Data'!J85))</f>
        <v>Enugu</v>
      </c>
      <c r="K85" t="str">
        <f>PROPER(TRIM('Raw Data'!K85))</f>
        <v>Amaka</v>
      </c>
      <c r="L85" t="str">
        <f>UPPER(TRIM('Raw Data'!L85))</f>
        <v>CASH</v>
      </c>
      <c r="M85" t="str">
        <f>PROPER(TRIM('Raw Data'!M85))</f>
        <v>Paid</v>
      </c>
    </row>
    <row r="86" spans="1:13" ht="21" x14ac:dyDescent="0.5">
      <c r="A86" t="str">
        <f>PROPER(TRIM('Raw Data'!A86))</f>
        <v>Txn085</v>
      </c>
      <c r="B86" s="3">
        <v>46235</v>
      </c>
      <c r="C86" t="str">
        <f>TRIM('Raw Data'!C86)</f>
        <v>C006</v>
      </c>
      <c r="D86" t="str">
        <f>PROPER(TRIM('Raw Data'!D86))</f>
        <v>David Yusuf</v>
      </c>
      <c r="E86" t="str">
        <f>TRIM('Raw Data'!E86)</f>
        <v>P008</v>
      </c>
      <c r="F86" t="str">
        <f>PROPER(TRIM('Raw Data'!F86))</f>
        <v>Liquid Soap</v>
      </c>
      <c r="G86" t="str">
        <f>PROPER(TRIM('Raw Data'!G86))</f>
        <v>Household</v>
      </c>
      <c r="H86" s="5" t="str">
        <f>TRIM('Raw Data'!H86)</f>
        <v>6</v>
      </c>
      <c r="I86">
        <f>VALUE('Raw Data'!I86)</f>
        <v>3500</v>
      </c>
      <c r="J86" t="str">
        <f>PROPER(TRIM('Raw Data'!J86))</f>
        <v>Abuja</v>
      </c>
      <c r="K86" t="str">
        <f>PROPER(TRIM('Raw Data'!K86))</f>
        <v>Chinedu</v>
      </c>
      <c r="L86" t="str">
        <f>UPPER(TRIM('Raw Data'!L86))</f>
        <v>CARD</v>
      </c>
      <c r="M86" t="str">
        <f>PROPER(TRIM('Raw Data'!M86))</f>
        <v>Pending</v>
      </c>
    </row>
    <row r="87" spans="1:13" ht="21" x14ac:dyDescent="0.5">
      <c r="A87" t="str">
        <f>PROPER(TRIM('Raw Data'!A87))</f>
        <v>Txn086</v>
      </c>
      <c r="B87" s="3">
        <v>46236</v>
      </c>
      <c r="C87" t="str">
        <f>TRIM('Raw Data'!C87)</f>
        <v>C003</v>
      </c>
      <c r="D87" t="str">
        <f>PROPER(TRIM('Raw Data'!D87))</f>
        <v>Grace Adeyemi</v>
      </c>
      <c r="E87" t="str">
        <f>TRIM('Raw Data'!E87)</f>
        <v>P003</v>
      </c>
      <c r="F87" t="str">
        <f>PROPER(TRIM('Raw Data'!F87))</f>
        <v>Peak Milk</v>
      </c>
      <c r="G87" t="str">
        <f>PROPER(TRIM('Raw Data'!G87))</f>
        <v>Groceries</v>
      </c>
      <c r="H87" s="5" t="str">
        <f>TRIM('Raw Data'!H87)</f>
        <v>7</v>
      </c>
      <c r="I87">
        <f>VALUE('Raw Data'!I87)</f>
        <v>3200</v>
      </c>
      <c r="J87" t="str">
        <f>PROPER(TRIM('Raw Data'!J87))</f>
        <v>Abuja</v>
      </c>
      <c r="K87" t="str">
        <f>PROPER(TRIM('Raw Data'!K87))</f>
        <v>Kemi</v>
      </c>
      <c r="L87" t="str">
        <f>UPPER(TRIM('Raw Data'!L87))</f>
        <v>TRANSFER</v>
      </c>
      <c r="M87" t="str">
        <f>PROPER(TRIM('Raw Data'!M87))</f>
        <v>Paid</v>
      </c>
    </row>
    <row r="88" spans="1:13" ht="21" x14ac:dyDescent="0.5">
      <c r="A88" t="str">
        <f>PROPER(TRIM('Raw Data'!A88))</f>
        <v>Txn087</v>
      </c>
      <c r="B88" s="3">
        <v>46237</v>
      </c>
      <c r="C88" t="str">
        <f>TRIM('Raw Data'!C88)</f>
        <v>C010</v>
      </c>
      <c r="D88" t="str">
        <f>PROPER(TRIM('Raw Data'!D88))</f>
        <v>Peter James</v>
      </c>
      <c r="E88" t="str">
        <f>TRIM('Raw Data'!E88)</f>
        <v>P006</v>
      </c>
      <c r="F88" t="str">
        <f>PROPER(TRIM('Raw Data'!F88))</f>
        <v>Malt Drink</v>
      </c>
      <c r="G88" t="str">
        <f>PROPER(TRIM('Raw Data'!G88))</f>
        <v>Beverages</v>
      </c>
      <c r="H88" s="5" t="str">
        <f>TRIM('Raw Data'!H88)</f>
        <v>8</v>
      </c>
      <c r="I88">
        <f>VALUE('Raw Data'!I88)</f>
        <v>1200</v>
      </c>
      <c r="J88" t="str">
        <f>PROPER(TRIM('Raw Data'!J88))</f>
        <v>Abuja</v>
      </c>
      <c r="K88" t="str">
        <f>PROPER(TRIM('Raw Data'!K88))</f>
        <v>Tolu</v>
      </c>
      <c r="L88" t="str">
        <f>UPPER(TRIM('Raw Data'!L88))</f>
        <v>POS</v>
      </c>
      <c r="M88" t="str">
        <f>PROPER(TRIM('Raw Data'!M88))</f>
        <v>Paid</v>
      </c>
    </row>
    <row r="89" spans="1:13" ht="21" x14ac:dyDescent="0.5">
      <c r="A89" t="str">
        <f>PROPER(TRIM('Raw Data'!A89))</f>
        <v>Txn088</v>
      </c>
      <c r="B89" s="3">
        <v>46238</v>
      </c>
      <c r="C89" t="str">
        <f>TRIM('Raw Data'!C89)</f>
        <v>C007</v>
      </c>
      <c r="D89" t="str">
        <f>PROPER(TRIM('Raw Data'!D89))</f>
        <v>Miriam Balogun</v>
      </c>
      <c r="E89" t="str">
        <f>TRIM('Raw Data'!E89)</f>
        <v>P001</v>
      </c>
      <c r="F89" t="str">
        <f>PROPER(TRIM('Raw Data'!F89))</f>
        <v>Premium Rice 5Kg</v>
      </c>
      <c r="G89" t="str">
        <f>PROPER(TRIM('Raw Data'!G89))</f>
        <v>Groceries</v>
      </c>
      <c r="H89" s="5" t="str">
        <f>TRIM('Raw Data'!H89)</f>
        <v>1</v>
      </c>
      <c r="I89">
        <f>VALUE('Raw Data'!I89)</f>
        <v>14500</v>
      </c>
      <c r="J89" t="str">
        <f>PROPER(TRIM('Raw Data'!J89))</f>
        <v>Ibadan</v>
      </c>
      <c r="K89" t="str">
        <f>PROPER(TRIM('Raw Data'!K89))</f>
        <v>Amaka</v>
      </c>
      <c r="L89" t="str">
        <f>UPPER(TRIM('Raw Data'!L89))</f>
        <v>CASH</v>
      </c>
      <c r="M89" t="str">
        <f>PROPER(TRIM('Raw Data'!M89))</f>
        <v>Paid</v>
      </c>
    </row>
    <row r="90" spans="1:13" ht="21" x14ac:dyDescent="0.5">
      <c r="A90" t="str">
        <f>PROPER(TRIM('Raw Data'!A90))</f>
        <v>Txn089</v>
      </c>
      <c r="B90" s="3">
        <v>46239</v>
      </c>
      <c r="C90" t="str">
        <f>TRIM('Raw Data'!C90)</f>
        <v>C004</v>
      </c>
      <c r="D90" t="str">
        <f>PROPER(TRIM('Raw Data'!D90))</f>
        <v>Samuel Eze</v>
      </c>
      <c r="E90" t="str">
        <f>TRIM('Raw Data'!E90)</f>
        <v>P004</v>
      </c>
      <c r="F90" t="str">
        <f>PROPER(TRIM('Raw Data'!F90))</f>
        <v>Sliced Bread</v>
      </c>
      <c r="G90" t="str">
        <f>PROPER(TRIM('Raw Data'!G90))</f>
        <v>Bakery</v>
      </c>
      <c r="H90" s="5" t="str">
        <f>TRIM('Raw Data'!H90)</f>
        <v>2</v>
      </c>
      <c r="I90">
        <f>VALUE('Raw Data'!I90)</f>
        <v>2200</v>
      </c>
      <c r="J90" t="str">
        <f>PROPER(TRIM('Raw Data'!J90))</f>
        <v>Enugu</v>
      </c>
      <c r="K90" t="str">
        <f>PROPER(TRIM('Raw Data'!K90))</f>
        <v>Chinedu</v>
      </c>
      <c r="L90" t="str">
        <f>UPPER(TRIM('Raw Data'!L90))</f>
        <v>CARD</v>
      </c>
      <c r="M90" t="str">
        <f>PROPER(TRIM('Raw Data'!M90))</f>
        <v>Paid</v>
      </c>
    </row>
    <row r="91" spans="1:13" ht="21" x14ac:dyDescent="0.5">
      <c r="A91" t="str">
        <f>PROPER(TRIM('Raw Data'!A91))</f>
        <v>Txn090</v>
      </c>
      <c r="B91" s="3">
        <v>46240</v>
      </c>
      <c r="C91" t="str">
        <f>TRIM('Raw Data'!C91)</f>
        <v>C001</v>
      </c>
      <c r="D91" t="str">
        <f>PROPER(TRIM('Raw Data'!D91))</f>
        <v>Aisha Bello</v>
      </c>
      <c r="E91" t="str">
        <f>TRIM('Raw Data'!E91)</f>
        <v>P007</v>
      </c>
      <c r="F91" t="str">
        <f>PROPER(TRIM('Raw Data'!F91))</f>
        <v>Bottled Water</v>
      </c>
      <c r="G91" t="str">
        <f>PROPER(TRIM('Raw Data'!G91))</f>
        <v>Beverages</v>
      </c>
      <c r="H91" s="5" t="str">
        <f>TRIM('Raw Data'!H91)</f>
        <v>3</v>
      </c>
      <c r="I91">
        <f>VALUE('Raw Data'!I91)</f>
        <v>500</v>
      </c>
      <c r="J91" t="str">
        <f>PROPER(TRIM('Raw Data'!J91))</f>
        <v>Lagos</v>
      </c>
      <c r="K91" t="str">
        <f>PROPER(TRIM('Raw Data'!K91))</f>
        <v>Kemi</v>
      </c>
      <c r="L91" t="str">
        <f>UPPER(TRIM('Raw Data'!L91))</f>
        <v>TRANSFER</v>
      </c>
      <c r="M91" t="str">
        <f>PROPER(TRIM('Raw Data'!M91))</f>
        <v>Pending</v>
      </c>
    </row>
    <row r="92" spans="1:13" ht="21" x14ac:dyDescent="0.5">
      <c r="A92" t="str">
        <f>PROPER(TRIM('Raw Data'!A92))</f>
        <v>Txn090</v>
      </c>
      <c r="B92" s="3">
        <v>46240</v>
      </c>
      <c r="C92" t="str">
        <f>TRIM('Raw Data'!C92)</f>
        <v>C001</v>
      </c>
      <c r="D92" t="str">
        <f>PROPER(TRIM('Raw Data'!D92))</f>
        <v>Aisha Bello</v>
      </c>
      <c r="E92" t="str">
        <f>TRIM('Raw Data'!E92)</f>
        <v>P007</v>
      </c>
      <c r="F92" t="str">
        <f>PROPER(TRIM('Raw Data'!F92))</f>
        <v>Bottled Water</v>
      </c>
      <c r="G92" t="str">
        <f>PROPER(TRIM('Raw Data'!G92))</f>
        <v>Beverages</v>
      </c>
      <c r="H92" s="5" t="str">
        <f>TRIM('Raw Data'!H92)</f>
        <v>3</v>
      </c>
      <c r="I92">
        <f>VALUE('Raw Data'!I92)</f>
        <v>500</v>
      </c>
      <c r="J92" t="str">
        <f>PROPER(TRIM('Raw Data'!J92))</f>
        <v>Lagos</v>
      </c>
      <c r="K92" t="str">
        <f>PROPER(TRIM('Raw Data'!K92))</f>
        <v>Kemi</v>
      </c>
      <c r="L92" t="str">
        <f>UPPER(TRIM('Raw Data'!L92))</f>
        <v>TRANSFER</v>
      </c>
      <c r="M92" t="str">
        <f>PROPER(TRIM('Raw Data'!M92))</f>
        <v>Pending</v>
      </c>
    </row>
    <row r="93" spans="1:13" ht="21" x14ac:dyDescent="0.5">
      <c r="A93" t="str">
        <f>PROPER(TRIM('Raw Data'!A93))</f>
        <v>Txn092</v>
      </c>
      <c r="B93" s="3">
        <v>46242</v>
      </c>
      <c r="C93" t="str">
        <f>TRIM('Raw Data'!C93)</f>
        <v>C005</v>
      </c>
      <c r="D93" t="str">
        <f>PROPER(TRIM('Raw Data'!D93))</f>
        <v>Esther Johnson</v>
      </c>
      <c r="E93" t="str">
        <f>TRIM('Raw Data'!E93)</f>
        <v>P005</v>
      </c>
      <c r="F93" t="str">
        <f>PROPER(TRIM('Raw Data'!F93))</f>
        <v>Meat Pie</v>
      </c>
      <c r="G93" t="str">
        <f>PROPER(TRIM('Raw Data'!G93))</f>
        <v>Bakery</v>
      </c>
      <c r="H93" s="5" t="str">
        <f>TRIM('Raw Data'!H93)</f>
        <v>5</v>
      </c>
      <c r="I93">
        <f>VALUE('Raw Data'!I93)</f>
        <v>1800</v>
      </c>
      <c r="J93" t="str">
        <f>PROPER(TRIM('Raw Data'!J93))</f>
        <v>Lagos</v>
      </c>
      <c r="K93" t="str">
        <f>PROPER(TRIM('Raw Data'!K93))</f>
        <v>Amaka</v>
      </c>
      <c r="L93" t="str">
        <f>UPPER(TRIM('Raw Data'!L93))</f>
        <v>CASH</v>
      </c>
      <c r="M93" t="str">
        <f>PROPER(TRIM('Raw Data'!M93))</f>
        <v>Paid</v>
      </c>
    </row>
    <row r="94" spans="1:13" ht="21" x14ac:dyDescent="0.5">
      <c r="A94" t="str">
        <f>PROPER(TRIM('Raw Data'!A94))</f>
        <v>Txn093</v>
      </c>
      <c r="B94" s="3">
        <v>46243</v>
      </c>
      <c r="C94" t="str">
        <f>TRIM('Raw Data'!C94)</f>
        <v>C002</v>
      </c>
      <c r="D94" t="str">
        <f>PROPER(TRIM('Raw Data'!D94))</f>
        <v>Daniel Okafor</v>
      </c>
      <c r="E94" t="str">
        <f>TRIM('Raw Data'!E94)</f>
        <v>P008</v>
      </c>
      <c r="F94" t="str">
        <f>PROPER(TRIM('Raw Data'!F94))</f>
        <v>Liquid Soap</v>
      </c>
      <c r="G94" t="str">
        <f>PROPER(TRIM('Raw Data'!G94))</f>
        <v>Household</v>
      </c>
      <c r="H94" s="5" t="str">
        <f>TRIM('Raw Data'!H94)</f>
        <v>6</v>
      </c>
      <c r="I94">
        <f>VALUE('Raw Data'!I94)</f>
        <v>3500</v>
      </c>
      <c r="J94" t="str">
        <f>PROPER(TRIM('Raw Data'!J94))</f>
        <v>Ibadan</v>
      </c>
      <c r="K94" t="str">
        <f>PROPER(TRIM('Raw Data'!K94))</f>
        <v>Chinedu</v>
      </c>
      <c r="L94" t="str">
        <f>UPPER(TRIM('Raw Data'!L94))</f>
        <v>CARD</v>
      </c>
      <c r="M94" t="str">
        <f>PROPER(TRIM('Raw Data'!M94))</f>
        <v>Paid</v>
      </c>
    </row>
    <row r="95" spans="1:13" ht="21" x14ac:dyDescent="0.5">
      <c r="A95" t="str">
        <f>PROPER(TRIM('Raw Data'!A95))</f>
        <v>Txn094</v>
      </c>
      <c r="B95" s="3">
        <v>46244</v>
      </c>
      <c r="C95" t="str">
        <f>TRIM('Raw Data'!C95)</f>
        <v>C009</v>
      </c>
      <c r="D95" t="str">
        <f>PROPER(TRIM('Raw Data'!D95))</f>
        <v>Deborah Obi</v>
      </c>
      <c r="E95" t="str">
        <f>TRIM('Raw Data'!E95)</f>
        <v>P003</v>
      </c>
      <c r="F95" t="str">
        <f>PROPER(TRIM('Raw Data'!F95))</f>
        <v>Peak Milk</v>
      </c>
      <c r="G95" t="str">
        <f>PROPER(TRIM('Raw Data'!G95))</f>
        <v>Groceries</v>
      </c>
      <c r="H95" s="5" t="str">
        <f>TRIM('Raw Data'!H95)</f>
        <v>7</v>
      </c>
      <c r="I95">
        <f>VALUE('Raw Data'!I95)</f>
        <v>3200</v>
      </c>
      <c r="J95" t="str">
        <f>PROPER(TRIM('Raw Data'!J95))</f>
        <v>Enugu</v>
      </c>
      <c r="K95" t="str">
        <f>PROPER(TRIM('Raw Data'!K95))</f>
        <v>Kemi</v>
      </c>
      <c r="L95" t="str">
        <f>UPPER(TRIM('Raw Data'!L95))</f>
        <v>TRANSFER</v>
      </c>
      <c r="M95" t="str">
        <f>PROPER(TRIM('Raw Data'!M95))</f>
        <v>Paid</v>
      </c>
    </row>
    <row r="96" spans="1:13" ht="21" x14ac:dyDescent="0.5">
      <c r="A96" t="str">
        <f>PROPER(TRIM('Raw Data'!A96))</f>
        <v>Txn095</v>
      </c>
      <c r="B96" s="3">
        <v>46245</v>
      </c>
      <c r="C96" t="str">
        <f>TRIM('Raw Data'!C96)</f>
        <v>C006</v>
      </c>
      <c r="D96" t="str">
        <f>PROPER(TRIM('Raw Data'!D96))</f>
        <v>David Yusuf</v>
      </c>
      <c r="E96" t="str">
        <f>TRIM('Raw Data'!E96)</f>
        <v>P006</v>
      </c>
      <c r="F96" t="str">
        <f>PROPER(TRIM('Raw Data'!F96))</f>
        <v>Malt Drink</v>
      </c>
      <c r="G96" t="str">
        <f>PROPER(TRIM('Raw Data'!G96))</f>
        <v>Beverages</v>
      </c>
      <c r="H96" s="5" t="str">
        <f>TRIM('Raw Data'!H96)</f>
        <v>8</v>
      </c>
      <c r="I96">
        <f>VALUE('Raw Data'!I96)</f>
        <v>1200</v>
      </c>
      <c r="J96" t="str">
        <f>PROPER(TRIM('Raw Data'!J96))</f>
        <v>Abuja</v>
      </c>
      <c r="K96" t="str">
        <f>PROPER(TRIM('Raw Data'!K96))</f>
        <v>Tolu</v>
      </c>
      <c r="L96" t="str">
        <f>UPPER(TRIM('Raw Data'!L96))</f>
        <v>POS</v>
      </c>
      <c r="M96" t="str">
        <f>PROPER(TRIM('Raw Data'!M96))</f>
        <v>Pending</v>
      </c>
    </row>
    <row r="97" spans="1:13" ht="21" x14ac:dyDescent="0.5">
      <c r="A97" t="str">
        <f>PROPER(TRIM('Raw Data'!A97))</f>
        <v>Txn096</v>
      </c>
      <c r="B97" s="3">
        <v>46246</v>
      </c>
      <c r="C97" t="str">
        <f>TRIM('Raw Data'!C97)</f>
        <v>C003</v>
      </c>
      <c r="D97" t="str">
        <f>PROPER(TRIM('Raw Data'!D97))</f>
        <v>Grace Adeyemi</v>
      </c>
      <c r="E97" t="str">
        <f>TRIM('Raw Data'!E97)</f>
        <v>P001</v>
      </c>
      <c r="F97" t="str">
        <f>PROPER(TRIM('Raw Data'!F97))</f>
        <v>Premium Rice 5Kg</v>
      </c>
      <c r="G97" t="str">
        <f>PROPER(TRIM('Raw Data'!G97))</f>
        <v>Groceries</v>
      </c>
      <c r="H97" s="5" t="str">
        <f>TRIM('Raw Data'!H97)</f>
        <v>1</v>
      </c>
      <c r="I97">
        <f>VALUE('Raw Data'!I97)</f>
        <v>14500</v>
      </c>
      <c r="J97" t="str">
        <f>PROPER(TRIM('Raw Data'!J97))</f>
        <v>Abuja</v>
      </c>
      <c r="K97" t="str">
        <f>PROPER(TRIM('Raw Data'!K97))</f>
        <v>Amaka</v>
      </c>
      <c r="L97" t="str">
        <f>UPPER(TRIM('Raw Data'!L97))</f>
        <v>CASH</v>
      </c>
      <c r="M97" t="str">
        <f>PROPER(TRIM('Raw Data'!M97))</f>
        <v>Paid</v>
      </c>
    </row>
    <row r="98" spans="1:13" ht="21" x14ac:dyDescent="0.5">
      <c r="A98" t="str">
        <f>PROPER(TRIM('Raw Data'!A98))</f>
        <v>Txn097</v>
      </c>
      <c r="B98" s="3">
        <v>46247</v>
      </c>
      <c r="C98" t="str">
        <f>TRIM('Raw Data'!C98)</f>
        <v>C010</v>
      </c>
      <c r="D98" t="str">
        <f>PROPER(TRIM('Raw Data'!D98))</f>
        <v>Peter James</v>
      </c>
      <c r="E98" t="str">
        <f>TRIM('Raw Data'!E98)</f>
        <v>P004</v>
      </c>
      <c r="F98" t="str">
        <f>PROPER(TRIM('Raw Data'!F98))</f>
        <v>Sliced Bread</v>
      </c>
      <c r="G98" t="str">
        <f>PROPER(TRIM('Raw Data'!G98))</f>
        <v>Bakery</v>
      </c>
      <c r="H98" s="5" t="str">
        <f>TRIM('Raw Data'!H98)</f>
        <v>2</v>
      </c>
      <c r="I98">
        <f>VALUE('Raw Data'!I98)</f>
        <v>2200</v>
      </c>
      <c r="J98" t="str">
        <f>PROPER(TRIM('Raw Data'!J98))</f>
        <v>Abuja</v>
      </c>
      <c r="K98" t="str">
        <f>PROPER(TRIM('Raw Data'!K98))</f>
        <v>Chinedu</v>
      </c>
      <c r="L98" t="str">
        <f>UPPER(TRIM('Raw Data'!L98))</f>
        <v>CARD</v>
      </c>
      <c r="M98" t="str">
        <f>PROPER(TRIM('Raw Data'!M98))</f>
        <v>Paid</v>
      </c>
    </row>
    <row r="99" spans="1:13" ht="21" x14ac:dyDescent="0.5">
      <c r="A99" t="str">
        <f>PROPER(TRIM('Raw Data'!A99))</f>
        <v>Txn098</v>
      </c>
      <c r="B99" s="3">
        <v>46248</v>
      </c>
      <c r="C99" t="str">
        <f>TRIM('Raw Data'!C99)</f>
        <v>C007</v>
      </c>
      <c r="D99" t="str">
        <f>PROPER(TRIM('Raw Data'!D99))</f>
        <v>Miriam Balogun</v>
      </c>
      <c r="E99" t="str">
        <f>TRIM('Raw Data'!E99)</f>
        <v>P007</v>
      </c>
      <c r="F99" t="str">
        <f>PROPER(TRIM('Raw Data'!F99))</f>
        <v>Bottled Water</v>
      </c>
      <c r="G99" t="str">
        <f>PROPER(TRIM('Raw Data'!G99))</f>
        <v>Beverages</v>
      </c>
      <c r="H99" s="5" t="str">
        <f>TRIM('Raw Data'!H99)</f>
        <v>3</v>
      </c>
      <c r="I99">
        <f>VALUE('Raw Data'!I99)</f>
        <v>500</v>
      </c>
      <c r="J99" t="str">
        <f>PROPER(TRIM('Raw Data'!J99))</f>
        <v>Ibadan</v>
      </c>
      <c r="K99" t="str">
        <f>PROPER(TRIM('Raw Data'!K99))</f>
        <v>Kemi</v>
      </c>
      <c r="L99" t="str">
        <f>UPPER(TRIM('Raw Data'!L99))</f>
        <v>TRANSFER</v>
      </c>
      <c r="M99" t="str">
        <f>PROPER(TRIM('Raw Data'!M99))</f>
        <v>Paid</v>
      </c>
    </row>
    <row r="100" spans="1:13" ht="21" x14ac:dyDescent="0.5">
      <c r="A100" t="str">
        <f>PROPER(TRIM('Raw Data'!A100))</f>
        <v>Txn099</v>
      </c>
      <c r="B100" s="3">
        <v>46249</v>
      </c>
      <c r="C100" t="str">
        <f>TRIM('Raw Data'!C100)</f>
        <v>C004</v>
      </c>
      <c r="D100" t="str">
        <f>PROPER(TRIM('Raw Data'!D100))</f>
        <v>Samuel Eze</v>
      </c>
      <c r="E100" t="str">
        <f>TRIM('Raw Data'!E100)</f>
        <v>P002</v>
      </c>
      <c r="F100" t="str">
        <f>PROPER(TRIM('Raw Data'!F100))</f>
        <v>Spaghetti</v>
      </c>
      <c r="G100" t="str">
        <f>PROPER(TRIM('Raw Data'!G100))</f>
        <v>Groceries</v>
      </c>
      <c r="H100" s="5" t="str">
        <f>TRIM('Raw Data'!H100)</f>
        <v>4</v>
      </c>
      <c r="I100">
        <f>VALUE('Raw Data'!I100)</f>
        <v>1800</v>
      </c>
      <c r="J100" t="str">
        <f>PROPER(TRIM('Raw Data'!J100))</f>
        <v>Enugu</v>
      </c>
      <c r="K100" t="str">
        <f>PROPER(TRIM('Raw Data'!K100))</f>
        <v>Tolu</v>
      </c>
      <c r="L100" t="str">
        <f>UPPER(TRIM('Raw Data'!L100))</f>
        <v>POS</v>
      </c>
      <c r="M100" t="str">
        <f>PROPER(TRIM('Raw Data'!M100))</f>
        <v>Paid</v>
      </c>
    </row>
    <row r="101" spans="1:13" ht="21" x14ac:dyDescent="0.5">
      <c r="A101" t="str">
        <f>PROPER(TRIM('Raw Data'!A101))</f>
        <v>Txn100</v>
      </c>
      <c r="B101" s="3">
        <v>46250</v>
      </c>
      <c r="C101" t="str">
        <f>TRIM('Raw Data'!C101)</f>
        <v>C001</v>
      </c>
      <c r="D101" t="str">
        <f>PROPER(TRIM('Raw Data'!D101))</f>
        <v>Aisha Bello</v>
      </c>
      <c r="E101" t="str">
        <f>TRIM('Raw Data'!E101)</f>
        <v>P005</v>
      </c>
      <c r="F101" t="str">
        <f>PROPER(TRIM('Raw Data'!F101))</f>
        <v>Meat Pie</v>
      </c>
      <c r="G101" t="str">
        <f>PROPER(TRIM('Raw Data'!G101))</f>
        <v>Bakery</v>
      </c>
      <c r="H101" s="5" t="str">
        <f>TRIM('Raw Data'!H101)</f>
        <v>5</v>
      </c>
      <c r="I101">
        <f>VALUE('Raw Data'!I101)</f>
        <v>1800</v>
      </c>
      <c r="J101" t="str">
        <f>PROPER(TRIM('Raw Data'!J101))</f>
        <v>Lagos</v>
      </c>
      <c r="K101" t="str">
        <f>PROPER(TRIM('Raw Data'!K101))</f>
        <v>Amaka</v>
      </c>
      <c r="L101" t="str">
        <f>UPPER(TRIM('Raw Data'!L101))</f>
        <v>CASH</v>
      </c>
      <c r="M101" t="str">
        <f>PROPER(TRIM('Raw Data'!M101))</f>
        <v>Pending</v>
      </c>
    </row>
    <row r="102" spans="1:13" x14ac:dyDescent="0.35">
      <c r="A102" t="str">
        <f>PROPER(TRIM('Raw Data'!A102))</f>
        <v/>
      </c>
      <c r="E102" t="str">
        <f>TRIM('Raw Data'!E102)</f>
        <v/>
      </c>
      <c r="F102" t="str">
        <f>PROPER(TRIM('Raw Data'!F102))</f>
        <v/>
      </c>
      <c r="J102" t="str">
        <f>PROPER(TRIM('Raw Data'!J102))</f>
        <v/>
      </c>
      <c r="L102" t="str">
        <f>UPPER(TRIM('Raw Data'!L102))</f>
        <v/>
      </c>
    </row>
    <row r="103" spans="1:13" x14ac:dyDescent="0.35">
      <c r="A103" t="str">
        <f>PROPER(TRIM('Raw Data'!A103))</f>
        <v/>
      </c>
      <c r="F103" t="str">
        <f>PROPER(TRIM('Raw Data'!F103))</f>
        <v/>
      </c>
      <c r="J103" t="str">
        <f>PROPER(TRIM('Raw Data'!J103))</f>
        <v/>
      </c>
      <c r="L103" t="str">
        <f>UPPER(TRIM('Raw Data'!L103))</f>
        <v/>
      </c>
    </row>
    <row r="104" spans="1:13" x14ac:dyDescent="0.35">
      <c r="A104" t="str">
        <f>PROPER(TRIM('Raw Data'!A104))</f>
        <v/>
      </c>
      <c r="F104" t="str">
        <f>PROPER(TRIM('Raw Data'!F104))</f>
        <v/>
      </c>
      <c r="J104" t="str">
        <f>PROPER(TRIM('Raw Data'!J104))</f>
        <v/>
      </c>
      <c r="L104" t="str">
        <f>UPPER(TRIM('Raw Data'!L104))</f>
        <v/>
      </c>
    </row>
    <row r="105" spans="1:13" x14ac:dyDescent="0.35">
      <c r="A105" t="str">
        <f>PROPER(TRIM('Raw Data'!A105))</f>
        <v/>
      </c>
      <c r="F105" t="str">
        <f>PROPER(TRIM('Raw Data'!F105))</f>
        <v/>
      </c>
      <c r="J105" t="str">
        <f>PROPER(TRIM('Raw Data'!J105))</f>
        <v/>
      </c>
      <c r="L105" t="str">
        <f>UPPER(TRIM('Raw Data'!L105))</f>
        <v/>
      </c>
    </row>
    <row r="106" spans="1:13" x14ac:dyDescent="0.35">
      <c r="A106" t="str">
        <f>PROPER(TRIM('Raw Data'!A106))</f>
        <v/>
      </c>
      <c r="F106" t="str">
        <f>PROPER(TRIM('Raw Data'!F106))</f>
        <v/>
      </c>
      <c r="J106" t="str">
        <f>PROPER(TRIM('Raw Data'!J106))</f>
        <v/>
      </c>
      <c r="L106" t="str">
        <f>UPPER(TRIM('Raw Data'!L106))</f>
        <v/>
      </c>
    </row>
    <row r="107" spans="1:13" x14ac:dyDescent="0.35">
      <c r="A107" t="str">
        <f>PROPER(TRIM('Raw Data'!A107))</f>
        <v/>
      </c>
      <c r="F107" t="str">
        <f>PROPER(TRIM('Raw Data'!F107))</f>
        <v/>
      </c>
      <c r="J107" t="str">
        <f>PROPER(TRIM('Raw Data'!J107))</f>
        <v/>
      </c>
      <c r="L107" t="str">
        <f>UPPER(TRIM('Raw Data'!L107))</f>
        <v/>
      </c>
    </row>
    <row r="108" spans="1:13" x14ac:dyDescent="0.35">
      <c r="A108" t="str">
        <f>PROPER(TRIM('Raw Data'!A108))</f>
        <v/>
      </c>
      <c r="F108" t="str">
        <f>PROPER(TRIM('Raw Data'!F108))</f>
        <v/>
      </c>
      <c r="J108" t="str">
        <f>PROPER(TRIM('Raw Data'!J108))</f>
        <v/>
      </c>
      <c r="L108" t="str">
        <f>UPPER(TRIM('Raw Data'!L108))</f>
        <v/>
      </c>
    </row>
    <row r="109" spans="1:13" x14ac:dyDescent="0.35">
      <c r="A109" t="str">
        <f>PROPER(TRIM('Raw Data'!A109))</f>
        <v/>
      </c>
      <c r="F109" t="str">
        <f>PROPER(TRIM('Raw Data'!F109))</f>
        <v/>
      </c>
      <c r="J109" t="str">
        <f>PROPER(TRIM('Raw Data'!J109))</f>
        <v/>
      </c>
      <c r="L109" t="str">
        <f>UPPER(TRIM('Raw Data'!L109))</f>
        <v/>
      </c>
    </row>
    <row r="110" spans="1:13" x14ac:dyDescent="0.35">
      <c r="A110" t="str">
        <f>PROPER(TRIM('Raw Data'!A110))</f>
        <v/>
      </c>
      <c r="F110" t="str">
        <f>PROPER(TRIM('Raw Data'!F110))</f>
        <v/>
      </c>
      <c r="J110" t="str">
        <f>PROPER(TRIM('Raw Data'!J110))</f>
        <v/>
      </c>
      <c r="L110" t="str">
        <f>UPPER(TRIM('Raw Data'!L110))</f>
        <v/>
      </c>
    </row>
    <row r="111" spans="1:13" x14ac:dyDescent="0.35">
      <c r="A111" t="str">
        <f>PROPER(TRIM('Raw Data'!A111))</f>
        <v/>
      </c>
      <c r="F111" t="str">
        <f>PROPER(TRIM('Raw Data'!F111))</f>
        <v/>
      </c>
      <c r="J111" t="str">
        <f>PROPER(TRIM('Raw Data'!J111))</f>
        <v/>
      </c>
      <c r="L111" t="str">
        <f>UPPER(TRIM('Raw Data'!L111))</f>
        <v/>
      </c>
    </row>
    <row r="112" spans="1:13" x14ac:dyDescent="0.35">
      <c r="A112" t="str">
        <f>PROPER(TRIM('Raw Data'!A112))</f>
        <v/>
      </c>
      <c r="F112" t="str">
        <f>PROPER(TRIM('Raw Data'!F112))</f>
        <v/>
      </c>
      <c r="J112" t="str">
        <f>PROPER(TRIM('Raw Data'!J112))</f>
        <v/>
      </c>
      <c r="L112" t="str">
        <f>UPPER(TRIM('Raw Data'!L112))</f>
        <v/>
      </c>
    </row>
    <row r="113" spans="1:12" x14ac:dyDescent="0.35">
      <c r="A113" t="str">
        <f>PROPER(TRIM('Raw Data'!A113))</f>
        <v/>
      </c>
      <c r="F113" t="str">
        <f>PROPER(TRIM('Raw Data'!F113))</f>
        <v/>
      </c>
      <c r="J113" t="str">
        <f>PROPER(TRIM('Raw Data'!J113))</f>
        <v/>
      </c>
      <c r="L113" t="str">
        <f>UPPER(TRIM('Raw Data'!L113))</f>
        <v/>
      </c>
    </row>
    <row r="114" spans="1:12" x14ac:dyDescent="0.35">
      <c r="A114" t="str">
        <f>PROPER(TRIM('Raw Data'!A114))</f>
        <v/>
      </c>
      <c r="F114" t="str">
        <f>PROPER(TRIM('Raw Data'!F114))</f>
        <v/>
      </c>
      <c r="J114" t="str">
        <f>PROPER(TRIM('Raw Data'!J114))</f>
        <v/>
      </c>
      <c r="L114" t="str">
        <f>UPPER(TRIM('Raw Data'!L114))</f>
        <v/>
      </c>
    </row>
    <row r="115" spans="1:12" x14ac:dyDescent="0.35">
      <c r="A115" t="str">
        <f>PROPER(TRIM('Raw Data'!A115))</f>
        <v/>
      </c>
      <c r="F115" t="str">
        <f>PROPER(TRIM('Raw Data'!F115))</f>
        <v/>
      </c>
      <c r="J115" t="str">
        <f>PROPER(TRIM('Raw Data'!J115))</f>
        <v/>
      </c>
      <c r="L115" t="str">
        <f>UPPER(TRIM('Raw Data'!L115))</f>
        <v/>
      </c>
    </row>
    <row r="116" spans="1:12" x14ac:dyDescent="0.35">
      <c r="A116" t="str">
        <f>PROPER(TRIM('Raw Data'!A116))</f>
        <v/>
      </c>
      <c r="F116" t="str">
        <f>PROPER(TRIM('Raw Data'!F116))</f>
        <v/>
      </c>
      <c r="J116" t="str">
        <f>PROPER(TRIM('Raw Data'!J116))</f>
        <v/>
      </c>
      <c r="L116" t="str">
        <f>UPPER(TRIM('Raw Data'!L116))</f>
        <v/>
      </c>
    </row>
    <row r="117" spans="1:12" x14ac:dyDescent="0.35">
      <c r="A117" t="str">
        <f>PROPER(TRIM('Raw Data'!A117))</f>
        <v/>
      </c>
      <c r="F117" t="str">
        <f>PROPER(TRIM('Raw Data'!F117))</f>
        <v/>
      </c>
      <c r="J117" t="str">
        <f>PROPER(TRIM('Raw Data'!J117))</f>
        <v/>
      </c>
      <c r="L117" t="str">
        <f>UPPER(TRIM('Raw Data'!L117))</f>
        <v/>
      </c>
    </row>
    <row r="118" spans="1:12" x14ac:dyDescent="0.35">
      <c r="A118" t="str">
        <f>PROPER(TRIM('Raw Data'!A118))</f>
        <v/>
      </c>
      <c r="J118" t="str">
        <f>PROPER(TRIM('Raw Data'!J118))</f>
        <v/>
      </c>
      <c r="L118" t="str">
        <f>UPPER(TRIM('Raw Data'!L118))</f>
        <v/>
      </c>
    </row>
    <row r="119" spans="1:12" x14ac:dyDescent="0.35">
      <c r="A119" t="str">
        <f>PROPER(TRIM('Raw Data'!A119))</f>
        <v/>
      </c>
      <c r="J119" t="str">
        <f>PROPER(TRIM('Raw Data'!J119))</f>
        <v/>
      </c>
      <c r="L119" t="str">
        <f>UPPER(TRIM('Raw Data'!L119))</f>
        <v/>
      </c>
    </row>
    <row r="120" spans="1:12" x14ac:dyDescent="0.35">
      <c r="A120" t="str">
        <f>PROPER(TRIM('Raw Data'!A120))</f>
        <v/>
      </c>
      <c r="J120" t="str">
        <f>PROPER(TRIM('Raw Data'!J120))</f>
        <v/>
      </c>
      <c r="L120" t="str">
        <f>UPPER(TRIM('Raw Data'!L120))</f>
        <v/>
      </c>
    </row>
    <row r="121" spans="1:12" x14ac:dyDescent="0.35">
      <c r="A121" t="str">
        <f>PROPER(TRIM('Raw Data'!A121))</f>
        <v/>
      </c>
      <c r="J121" t="str">
        <f>PROPER(TRIM('Raw Data'!J121))</f>
        <v/>
      </c>
      <c r="L121" t="str">
        <f>UPPER(TRIM('Raw Data'!L121))</f>
        <v/>
      </c>
    </row>
    <row r="122" spans="1:12" x14ac:dyDescent="0.35">
      <c r="A122" t="str">
        <f>PROPER(TRIM('Raw Data'!A122))</f>
        <v/>
      </c>
      <c r="L122" t="str">
        <f>UPPER(TRIM('Raw Data'!L122))</f>
        <v/>
      </c>
    </row>
    <row r="123" spans="1:12" x14ac:dyDescent="0.35">
      <c r="A123" t="str">
        <f>PROPER(TRIM('Raw Data'!A123))</f>
        <v/>
      </c>
      <c r="L123" t="str">
        <f>UPPER(TRIM('Raw Data'!L123))</f>
        <v/>
      </c>
    </row>
    <row r="124" spans="1:12" x14ac:dyDescent="0.35">
      <c r="A124" t="str">
        <f>PROPER(TRIM('Raw Data'!A124))</f>
        <v/>
      </c>
      <c r="L124" t="str">
        <f>UPPER(TRIM('Raw Data'!L124))</f>
        <v/>
      </c>
    </row>
    <row r="125" spans="1:12" x14ac:dyDescent="0.35">
      <c r="A125" t="str">
        <f>PROPER(TRIM('Raw Data'!A125))</f>
        <v/>
      </c>
      <c r="L125" t="str">
        <f>UPPER(TRIM('Raw Data'!L125))</f>
        <v/>
      </c>
    </row>
    <row r="126" spans="1:12" x14ac:dyDescent="0.35">
      <c r="A126" t="str">
        <f>PROPER(TRIM('Raw Data'!A126))</f>
        <v/>
      </c>
      <c r="L126" t="str">
        <f>UPPER(TRIM('Raw Data'!L126))</f>
        <v/>
      </c>
    </row>
    <row r="127" spans="1:12" x14ac:dyDescent="0.35">
      <c r="A127" t="str">
        <f>PROPER(TRIM('Raw Data'!A127))</f>
        <v/>
      </c>
      <c r="L127" t="str">
        <f>UPPER(TRIM('Raw Data'!L127))</f>
        <v/>
      </c>
    </row>
    <row r="128" spans="1:12" x14ac:dyDescent="0.35">
      <c r="A128" t="str">
        <f>PROPER(TRIM('Raw Data'!A128))</f>
        <v/>
      </c>
      <c r="L128" t="str">
        <f>UPPER(TRIM('Raw Data'!L128))</f>
        <v/>
      </c>
    </row>
    <row r="129" spans="1:12" x14ac:dyDescent="0.35">
      <c r="A129" t="str">
        <f>PROPER(TRIM('Raw Data'!A129))</f>
        <v/>
      </c>
      <c r="L129" t="str">
        <f>UPPER(TRIM('Raw Data'!L129))</f>
        <v/>
      </c>
    </row>
    <row r="130" spans="1:12" x14ac:dyDescent="0.35">
      <c r="A130" t="str">
        <f>PROPER(TRIM('Raw Data'!A130))</f>
        <v/>
      </c>
      <c r="L130" t="str">
        <f>UPPER(TRIM('Raw Data'!L130))</f>
        <v/>
      </c>
    </row>
    <row r="131" spans="1:12" x14ac:dyDescent="0.35">
      <c r="A131" t="str">
        <f>PROPER(TRIM('Raw Data'!A131))</f>
        <v/>
      </c>
      <c r="L131" t="str">
        <f>UPPER(TRIM('Raw Data'!L131))</f>
        <v/>
      </c>
    </row>
    <row r="132" spans="1:12" x14ac:dyDescent="0.35">
      <c r="A132" t="str">
        <f>PROPER(TRIM('Raw Data'!A132))</f>
        <v/>
      </c>
      <c r="L132" t="str">
        <f>UPPER(TRIM('Raw Data'!L132))</f>
        <v/>
      </c>
    </row>
    <row r="133" spans="1:12" x14ac:dyDescent="0.35">
      <c r="A133" t="str">
        <f>PROPER(TRIM('Raw Data'!A133))</f>
        <v/>
      </c>
      <c r="L133" t="str">
        <f>UPPER(TRIM('Raw Data'!L133))</f>
        <v/>
      </c>
    </row>
    <row r="134" spans="1:12" x14ac:dyDescent="0.35">
      <c r="A134" t="str">
        <f>PROPER(TRIM('Raw Data'!A134))</f>
        <v/>
      </c>
      <c r="L134" t="str">
        <f>UPPER(TRIM('Raw Data'!L134))</f>
        <v/>
      </c>
    </row>
    <row r="135" spans="1:12" x14ac:dyDescent="0.35">
      <c r="A135" t="str">
        <f>PROPER(TRIM('Raw Data'!A135))</f>
        <v/>
      </c>
      <c r="L135" t="str">
        <f>UPPER(TRIM('Raw Data'!L135))</f>
        <v/>
      </c>
    </row>
    <row r="136" spans="1:12" x14ac:dyDescent="0.35">
      <c r="A136" t="str">
        <f>PROPER(TRIM('Raw Data'!A136))</f>
        <v/>
      </c>
      <c r="L136" t="str">
        <f>UPPER(TRIM('Raw Data'!L136))</f>
        <v/>
      </c>
    </row>
    <row r="137" spans="1:12" x14ac:dyDescent="0.35">
      <c r="A137" t="str">
        <f>PROPER(TRIM('Raw Data'!A137))</f>
        <v/>
      </c>
      <c r="L137" t="str">
        <f>UPPER(TRIM('Raw Data'!L137))</f>
        <v/>
      </c>
    </row>
    <row r="138" spans="1:12" x14ac:dyDescent="0.35">
      <c r="A138" t="str">
        <f>PROPER(TRIM('Raw Data'!A138))</f>
        <v/>
      </c>
      <c r="L138" t="str">
        <f>UPPER(TRIM('Raw Data'!L138))</f>
        <v/>
      </c>
    </row>
    <row r="139" spans="1:12" x14ac:dyDescent="0.35">
      <c r="A139" t="str">
        <f>PROPER(TRIM('Raw Data'!A139))</f>
        <v/>
      </c>
      <c r="L139" t="str">
        <f>UPPER(TRIM('Raw Data'!L139))</f>
        <v/>
      </c>
    </row>
    <row r="140" spans="1:12" x14ac:dyDescent="0.35">
      <c r="A140" t="str">
        <f>PROPER(TRIM('Raw Data'!A140))</f>
        <v/>
      </c>
      <c r="L140" t="str">
        <f>UPPER(TRIM('Raw Data'!L140))</f>
        <v/>
      </c>
    </row>
    <row r="141" spans="1:12" x14ac:dyDescent="0.35">
      <c r="A141" t="str">
        <f>PROPER(TRIM('Raw Data'!A141))</f>
        <v/>
      </c>
      <c r="L141" t="str">
        <f>UPPER(TRIM('Raw Data'!L141))</f>
        <v/>
      </c>
    </row>
    <row r="142" spans="1:12" x14ac:dyDescent="0.35">
      <c r="A142" t="str">
        <f>PROPER(TRIM('Raw Data'!A142))</f>
        <v/>
      </c>
      <c r="L142" t="str">
        <f>UPPER(TRIM('Raw Data'!L142))</f>
        <v/>
      </c>
    </row>
    <row r="143" spans="1:12" x14ac:dyDescent="0.35">
      <c r="A143" t="str">
        <f>PROPER(TRIM('Raw Data'!A143))</f>
        <v/>
      </c>
      <c r="L143" t="str">
        <f>UPPER(TRIM('Raw Data'!L143))</f>
        <v/>
      </c>
    </row>
    <row r="144" spans="1:12" x14ac:dyDescent="0.35">
      <c r="A144" t="str">
        <f>PROPER(TRIM('Raw Data'!A144))</f>
        <v/>
      </c>
      <c r="L144" t="str">
        <f>UPPER(TRIM('Raw Data'!L144))</f>
        <v/>
      </c>
    </row>
    <row r="145" spans="1:12" x14ac:dyDescent="0.35">
      <c r="A145" t="str">
        <f>PROPER(TRIM('Raw Data'!A145))</f>
        <v/>
      </c>
      <c r="L145" t="str">
        <f>UPPER(TRIM('Raw Data'!L145))</f>
        <v/>
      </c>
    </row>
    <row r="146" spans="1:12" x14ac:dyDescent="0.35">
      <c r="A146" t="str">
        <f>PROPER(TRIM('Raw Data'!A146))</f>
        <v/>
      </c>
      <c r="L146" t="str">
        <f>UPPER(TRIM('Raw Data'!L146))</f>
        <v/>
      </c>
    </row>
    <row r="147" spans="1:12" x14ac:dyDescent="0.35">
      <c r="A147" t="str">
        <f>PROPER(TRIM('Raw Data'!A147))</f>
        <v/>
      </c>
      <c r="L147" t="str">
        <f>UPPER(TRIM('Raw Data'!L147))</f>
        <v/>
      </c>
    </row>
    <row r="148" spans="1:12" x14ac:dyDescent="0.35">
      <c r="A148" t="str">
        <f>PROPER(TRIM('Raw Data'!A148))</f>
        <v/>
      </c>
      <c r="L148" t="str">
        <f>UPPER(TRIM('Raw Data'!L148))</f>
        <v/>
      </c>
    </row>
    <row r="149" spans="1:12" x14ac:dyDescent="0.35">
      <c r="A149" t="str">
        <f>PROPER(TRIM('Raw Data'!A149))</f>
        <v/>
      </c>
      <c r="L149" t="str">
        <f>UPPER(TRIM('Raw Data'!L149))</f>
        <v/>
      </c>
    </row>
    <row r="150" spans="1:12" x14ac:dyDescent="0.35">
      <c r="A150" t="str">
        <f>PROPER(TRIM('Raw Data'!A150))</f>
        <v/>
      </c>
      <c r="L150" t="str">
        <f>UPPER(TRIM('Raw Data'!L150))</f>
        <v/>
      </c>
    </row>
    <row r="151" spans="1:12" x14ac:dyDescent="0.35">
      <c r="A151" t="str">
        <f>PROPER(TRIM('Raw Data'!A151))</f>
        <v/>
      </c>
      <c r="L151" t="str">
        <f>UPPER(TRIM('Raw Data'!L151))</f>
        <v/>
      </c>
    </row>
    <row r="152" spans="1:12" x14ac:dyDescent="0.35">
      <c r="A152" t="str">
        <f>PROPER(TRIM('Raw Data'!A152))</f>
        <v/>
      </c>
      <c r="L152" t="str">
        <f>UPPER(TRIM('Raw Data'!L152))</f>
        <v/>
      </c>
    </row>
    <row r="153" spans="1:12" x14ac:dyDescent="0.35">
      <c r="A153" t="str">
        <f>PROPER(TRIM('Raw Data'!A153))</f>
        <v/>
      </c>
      <c r="L153" t="str">
        <f>UPPER(TRIM('Raw Data'!L153))</f>
        <v/>
      </c>
    </row>
    <row r="154" spans="1:12" x14ac:dyDescent="0.35">
      <c r="A154" t="str">
        <f>PROPER(TRIM('Raw Data'!A154))</f>
        <v/>
      </c>
      <c r="L154" t="str">
        <f>UPPER(TRIM('Raw Data'!L154))</f>
        <v/>
      </c>
    </row>
    <row r="155" spans="1:12" x14ac:dyDescent="0.35">
      <c r="A155" t="str">
        <f>PROPER(TRIM('Raw Data'!A155))</f>
        <v/>
      </c>
      <c r="L155" t="str">
        <f>UPPER(TRIM('Raw Data'!L155))</f>
        <v/>
      </c>
    </row>
    <row r="156" spans="1:12" x14ac:dyDescent="0.35">
      <c r="A156" t="str">
        <f>PROPER(TRIM('Raw Data'!A156))</f>
        <v/>
      </c>
      <c r="L156" t="str">
        <f>UPPER(TRIM('Raw Data'!L156))</f>
        <v/>
      </c>
    </row>
    <row r="157" spans="1:12" x14ac:dyDescent="0.35">
      <c r="A157" t="str">
        <f>PROPER(TRIM('Raw Data'!A157))</f>
        <v/>
      </c>
      <c r="L157" t="str">
        <f>UPPER(TRIM('Raw Data'!L157))</f>
        <v/>
      </c>
    </row>
    <row r="158" spans="1:12" x14ac:dyDescent="0.35">
      <c r="A158" t="str">
        <f>PROPER(TRIM('Raw Data'!A158))</f>
        <v/>
      </c>
      <c r="L158" t="str">
        <f>UPPER(TRIM('Raw Data'!L158))</f>
        <v/>
      </c>
    </row>
    <row r="159" spans="1:12" x14ac:dyDescent="0.35">
      <c r="A159" t="str">
        <f>PROPER(TRIM('Raw Data'!A159))</f>
        <v/>
      </c>
      <c r="L159" t="str">
        <f>UPPER(TRIM('Raw Data'!L159))</f>
        <v/>
      </c>
    </row>
    <row r="160" spans="1:12" x14ac:dyDescent="0.35">
      <c r="A160" t="str">
        <f>PROPER(TRIM('Raw Data'!A160))</f>
        <v/>
      </c>
      <c r="L160" t="str">
        <f>UPPER(TRIM('Raw Data'!L160))</f>
        <v/>
      </c>
    </row>
    <row r="161" spans="1:12" x14ac:dyDescent="0.35">
      <c r="A161" t="str">
        <f>PROPER(TRIM('Raw Data'!A161))</f>
        <v/>
      </c>
      <c r="L161" t="str">
        <f>UPPER(TRIM('Raw Data'!L161))</f>
        <v/>
      </c>
    </row>
    <row r="162" spans="1:12" x14ac:dyDescent="0.35">
      <c r="A162" t="str">
        <f>PROPER(TRIM('Raw Data'!A162))</f>
        <v/>
      </c>
      <c r="L162" t="str">
        <f>UPPER(TRIM('Raw Data'!L162))</f>
        <v/>
      </c>
    </row>
    <row r="163" spans="1:12" x14ac:dyDescent="0.35">
      <c r="A163" t="str">
        <f>PROPER(TRIM('Raw Data'!A163))</f>
        <v/>
      </c>
      <c r="L163" t="str">
        <f>UPPER(TRIM('Raw Data'!L163))</f>
        <v/>
      </c>
    </row>
    <row r="164" spans="1:12" x14ac:dyDescent="0.35">
      <c r="A164" t="str">
        <f>PROPER(TRIM('Raw Data'!A164))</f>
        <v/>
      </c>
      <c r="L164" t="str">
        <f>UPPER(TRIM('Raw Data'!L164))</f>
        <v/>
      </c>
    </row>
    <row r="165" spans="1:12" x14ac:dyDescent="0.35">
      <c r="A165" t="str">
        <f>PROPER(TRIM('Raw Data'!A165))</f>
        <v/>
      </c>
      <c r="L165" t="str">
        <f>UPPER(TRIM('Raw Data'!L165))</f>
        <v/>
      </c>
    </row>
    <row r="166" spans="1:12" x14ac:dyDescent="0.35">
      <c r="A166" t="str">
        <f>PROPER(TRIM('Raw Data'!A166))</f>
        <v/>
      </c>
    </row>
    <row r="167" spans="1:12" x14ac:dyDescent="0.35">
      <c r="A167" t="str">
        <f>PROPER(TRIM('Raw Data'!A167))</f>
        <v/>
      </c>
    </row>
    <row r="168" spans="1:12" x14ac:dyDescent="0.35">
      <c r="A168" t="str">
        <f>PROPER(TRIM('Raw Data'!A168))</f>
        <v/>
      </c>
    </row>
    <row r="169" spans="1:12" x14ac:dyDescent="0.35">
      <c r="A169" t="str">
        <f>PROPER(TRIM('Raw Data'!A169))</f>
        <v/>
      </c>
    </row>
    <row r="170" spans="1:12" x14ac:dyDescent="0.35">
      <c r="A170" t="str">
        <f>PROPER(TRIM('Raw Data'!A170))</f>
        <v/>
      </c>
    </row>
    <row r="171" spans="1:12" x14ac:dyDescent="0.35">
      <c r="A171" t="str">
        <f>PROPER(TRIM('Raw Data'!A171))</f>
        <v/>
      </c>
    </row>
    <row r="172" spans="1:12" x14ac:dyDescent="0.35">
      <c r="A172" t="str">
        <f>PROPER(TRIM('Raw Data'!A172))</f>
        <v/>
      </c>
    </row>
    <row r="173" spans="1:12" x14ac:dyDescent="0.35">
      <c r="A173" t="str">
        <f>PROPER(TRIM('Raw Data'!A173))</f>
        <v/>
      </c>
    </row>
    <row r="174" spans="1:12" x14ac:dyDescent="0.35">
      <c r="A174" t="str">
        <f>PROPER(TRIM('Raw Data'!A174))</f>
        <v/>
      </c>
    </row>
    <row r="175" spans="1:12" x14ac:dyDescent="0.35">
      <c r="A175" t="str">
        <f>PROPER(TRIM('Raw Data'!A175))</f>
        <v/>
      </c>
    </row>
    <row r="176" spans="1:12" x14ac:dyDescent="0.35">
      <c r="A176" t="str">
        <f>PROPER(TRIM('Raw Data'!A176))</f>
        <v/>
      </c>
    </row>
    <row r="177" spans="1:1" x14ac:dyDescent="0.35">
      <c r="A177" t="str">
        <f>PROPER(TRIM('Raw Data'!A177))</f>
        <v/>
      </c>
    </row>
    <row r="178" spans="1:1" x14ac:dyDescent="0.35">
      <c r="A178" t="str">
        <f>PROPER(TRIM('Raw Data'!A178))</f>
        <v/>
      </c>
    </row>
    <row r="179" spans="1:1" x14ac:dyDescent="0.35">
      <c r="A179" t="str">
        <f>PROPER(TRIM('Raw Data'!A179))</f>
        <v/>
      </c>
    </row>
    <row r="180" spans="1:1" x14ac:dyDescent="0.35">
      <c r="A180" t="str">
        <f>PROPER(TRIM('Raw Data'!A180))</f>
        <v/>
      </c>
    </row>
    <row r="181" spans="1:1" x14ac:dyDescent="0.35">
      <c r="A181" t="str">
        <f>PROPER(TRIM('Raw Data'!A181))</f>
        <v/>
      </c>
    </row>
    <row r="182" spans="1:1" x14ac:dyDescent="0.35">
      <c r="A182" t="str">
        <f>PROPER(TRIM('Raw Data'!A182))</f>
        <v/>
      </c>
    </row>
    <row r="183" spans="1:1" x14ac:dyDescent="0.35">
      <c r="A183" t="str">
        <f>PROPER(TRIM('Raw Data'!A183))</f>
        <v/>
      </c>
    </row>
    <row r="184" spans="1:1" x14ac:dyDescent="0.35">
      <c r="A184" t="str">
        <f>PROPER(TRIM('Raw Data'!A184))</f>
        <v/>
      </c>
    </row>
    <row r="185" spans="1:1" x14ac:dyDescent="0.35">
      <c r="A185" t="str">
        <f>PROPER(TRIM('Raw Data'!A185))</f>
        <v/>
      </c>
    </row>
    <row r="186" spans="1:1" x14ac:dyDescent="0.35">
      <c r="A186" t="str">
        <f>PROPER(TRIM('Raw Data'!A186))</f>
        <v/>
      </c>
    </row>
    <row r="187" spans="1:1" x14ac:dyDescent="0.35">
      <c r="A187" t="str">
        <f>PROPER(TRIM('Raw Data'!A187))</f>
        <v/>
      </c>
    </row>
    <row r="188" spans="1:1" x14ac:dyDescent="0.35">
      <c r="A188" t="str">
        <f>PROPER(TRIM('Raw Data'!A188))</f>
        <v/>
      </c>
    </row>
    <row r="189" spans="1:1" x14ac:dyDescent="0.35">
      <c r="A189" t="str">
        <f>PROPER(TRIM('Raw Data'!A189))</f>
        <v/>
      </c>
    </row>
    <row r="190" spans="1:1" x14ac:dyDescent="0.35">
      <c r="A190" t="str">
        <f>PROPER(TRIM('Raw Data'!A190))</f>
        <v/>
      </c>
    </row>
  </sheetData>
  <autoFilter ref="A1:M190" xr:uid="{844137D5-3761-4BD4-A1CE-175E4BC6EDA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169</v>
      </c>
    </row>
    <row r="2" spans="1:1" x14ac:dyDescent="0.35">
      <c r="A2" t="s">
        <v>170</v>
      </c>
    </row>
    <row r="3" spans="1:1" x14ac:dyDescent="0.35">
      <c r="A3" t="s">
        <v>171</v>
      </c>
    </row>
    <row r="4" spans="1:1" x14ac:dyDescent="0.35">
      <c r="A4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sheet</vt:lpstr>
      <vt:lpstr>Instructor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oluwalofemi Abiodun</cp:lastModifiedBy>
  <dcterms:created xsi:type="dcterms:W3CDTF">2026-09-19T00:18:26Z</dcterms:created>
  <dcterms:modified xsi:type="dcterms:W3CDTF">2026-09-26T17:14:36Z</dcterms:modified>
</cp:coreProperties>
</file>